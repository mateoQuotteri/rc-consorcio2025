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marzo\"/>
    </mc:Choice>
  </mc:AlternateContent>
  <xr:revisionPtr revIDLastSave="0" documentId="13_ncr:1_{CF40F7F5-827E-4F5A-BD01-CE55A5F033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34" i="1" l="1"/>
  <c r="G22" i="1"/>
  <c r="G15" i="1"/>
  <c r="G18" i="1"/>
  <c r="G16" i="1"/>
  <c r="G13" i="1"/>
  <c r="G27" i="1" l="1"/>
  <c r="G21" i="1"/>
  <c r="G28" i="1" l="1"/>
  <c r="G19" i="1" l="1"/>
  <c r="G29" i="1" l="1"/>
  <c r="G17" i="1" l="1"/>
  <c r="G31" i="1" l="1"/>
  <c r="G20" i="1" l="1"/>
  <c r="G1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<sst xmlns="http://schemas.openxmlformats.org/spreadsheetml/2006/main" count="143" uniqueCount="83">
  <si>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</si>
  <si>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</si>
  <si>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</si>
  <si>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</si>
  <si>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</si>
  <si>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</si>
  <si>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</si>
  <si>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</si>
  <si>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</si>
  <si>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</si>
  <si>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</si>
  <si>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</si>
  <si>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</si>
  <si>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</si>
  <si>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</si>
  <si>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</si>
  <si>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</si>
  <si>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</si>
  <si>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</si>
  <si>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</si>
  <si>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</si>
  <si>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</si>
  <si>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</si>
  <si>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</si>
  <si>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</si>
  <si>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</si>
  <si>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</si>
  <si>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</si>
  <si>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</si>
  <si>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</si>
  <si>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</si>
  <si>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</si>
  <si>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</si>
  <si>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</si>
  <si>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</si>
  <si>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</si>
  <si>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</si>
  <si>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</si>
  <si>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</si>
  <si>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</si>
  <si>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</si>
  <si>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</si>
  <si>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</si>
  <si>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</si>
  <si>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</si>
  <si>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</si>
  <si>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</si>
  <si>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</si>
  <si>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</si>
  <si>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</si>
  <si>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</si>
  <si>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</si>
  <si>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</si>
  <si>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</si>
  <si>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</si>
  <si>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</si>
  <si>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</si>
  <si>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</si>
  <si>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</si>
  <si>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</si>
  <si>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</si>
  <si>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</si>
  <si>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</si>
  <si>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</si>
  <si>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</si>
  <si>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</si>
  <si>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</si>
  <si>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</si>
  <si>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</si>
  <si>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</si>
  <si>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</si>
  <si>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</si>
  <si>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</si>
  <si>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</si>
  <si>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</si>
  <si>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David</t>
  </si>
  <si>
    <t>Raquel</t>
  </si>
  <si>
    <t>Yoleidy</t>
  </si>
  <si>
    <t>ALCOLEAS, CRISTIAN</t>
  </si>
  <si>
    <t xml:space="preserve">Ricardo </t>
  </si>
  <si>
    <t>PAWLAK, MARCOS</t>
  </si>
  <si>
    <t>EXPENSAS - VENCIMIENTO 14/04  LIQUIDACION : MARZO</t>
  </si>
  <si>
    <t xml:space="preserve">Antonella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</si>
</sst>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15" fillId="2" borderId="1" xfId="2" applyNumberFormat="1" applyFont="1" applyFill="1" applyBorder="1"/>
    <xf numFmtId="166" fontId="1" fillId="3" borderId="1" xfId="2" applyNumberFormat="1" applyFont="1" applyFill="1" applyBorder="1"/>
    <xf numFmtId="166" fontId="1" fillId="0" borderId="0" xfId="2" applyNumberFormat="1" applyFon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B1" zoomScaleNormal="100" workbookViewId="0">
      <selection activeCell="C7" sqref="C7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3.7109375" style="6" customWidth="1"/>
    <col min="9" max="9" width="8.42578125" style="6" hidden="1" customWidth="1"/>
    <col min="10" max="10" width="14.85546875" customWidth="1"/>
    <col min="11" max="11" width="11.28515625" customWidth="1"/>
    <col min="12" max="12" width="11.5703125" customWidth="1"/>
    <col min="13" max="13" width="11" customWidth="1"/>
    <col min="14" max="14" width="12.85546875" bestFit="1" customWidth="1"/>
  </cols>
  <sheetData>
    <row r="1" spans="1:14" ht="26.25" customHeight="1" x14ac:dyDescent="0.25">
      <c r="A1" s="67" t="s">
        <v>81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x14ac:dyDescent="0.25">
      <c r="A2" s="13"/>
      <c r="F2" s="7"/>
      <c r="G2" s="7"/>
      <c r="H2" s="7"/>
      <c r="I2" s="25" t="s">
        <v>55</v>
      </c>
      <c r="N2" s="12"/>
    </row>
    <row r="3" spans="1:14" x14ac:dyDescent="0.25">
      <c r="A3" s="14" t="s">
        <v>0</v>
      </c>
      <c r="F3" s="7"/>
      <c r="G3" s="7"/>
      <c r="I3" s="58" t="s">
        <v>71</v>
      </c>
      <c r="J3" s="57"/>
      <c r="N3" s="12"/>
    </row>
    <row r="4" spans="1:14" x14ac:dyDescent="0.25">
      <c r="A4" s="14" t="s">
        <v>1</v>
      </c>
      <c r="F4" s="7"/>
      <c r="G4" s="7"/>
      <c r="I4" s="15" t="s">
        <v>46</v>
      </c>
      <c r="J4" s="65">
        <v>1153202676</v>
      </c>
      <c r="K4" s="65"/>
      <c r="L4" s="65"/>
      <c r="M4" s="65"/>
      <c r="N4" s="66"/>
    </row>
    <row r="5" spans="1:14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4" x14ac:dyDescent="0.25">
      <c r="A6" s="14"/>
      <c r="F6" s="7"/>
      <c r="G6" s="7"/>
      <c r="H6" s="7"/>
      <c r="I6" s="7"/>
      <c r="N6" s="12"/>
    </row>
    <row r="7" spans="1:14" x14ac:dyDescent="0.25">
      <c r="A7" s="14"/>
      <c r="B7" s="29" t="s">
        <v>56</v>
      </c>
      <c r="C7" s="50">
        <v>937852.52</v>
      </c>
      <c r="D7" s="53"/>
      <c r="F7" s="7"/>
      <c r="G7" s="7"/>
      <c r="H7" s="7"/>
      <c r="I7" s="7"/>
      <c r="N7" s="12"/>
    </row>
    <row r="8" spans="1:14" x14ac:dyDescent="0.25">
      <c r="A8" s="14"/>
      <c r="B8" s="29" t="s">
        <v>57</v>
      </c>
      <c r="C8" s="29"/>
      <c r="D8" s="29"/>
      <c r="F8" s="7"/>
      <c r="G8" s="7"/>
      <c r="H8" s="7"/>
      <c r="I8" s="7"/>
      <c r="N8" s="12"/>
    </row>
    <row r="9" spans="1:14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4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4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45954.773480000003</v>
      </c>
      <c r="G11" s="62">
        <f>F11</f>
        <v>45954.773480000003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45954.773480000003</v>
      </c>
      <c r="M11" s="5">
        <f>C8*E11/100</f>
        <v>0</v>
      </c>
      <c r="N11" s="44">
        <f>K11+L11+M11</f>
        <v>45954.773480000003</v>
      </c>
    </row>
    <row r="12" spans="1:14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281136.22144193016</v>
      </c>
      <c r="G12" s="62"/>
      <c r="H12" s="8">
        <f t="shared" ref="H12:H34" si="0">F12-G12</f>
        <v>281136.22144193016</v>
      </c>
      <c r="I12" s="5">
        <v>0</v>
      </c>
      <c r="J12" s="9">
        <f t="shared" ref="J12:J34" si="1">H12*8.8%</f>
        <v>24739.987486889855</v>
      </c>
      <c r="K12" s="44">
        <f>H12+I12+J12</f>
        <v>305876.20892882004</v>
      </c>
      <c r="L12" s="5">
        <f>C7*E12/100</f>
        <v>36482.463027999998</v>
      </c>
      <c r="M12" s="5">
        <f>C8*E12/100</f>
        <v>0</v>
      </c>
      <c r="N12" s="44">
        <f>K12+L12+M12</f>
        <v>342358.67195682006</v>
      </c>
    </row>
    <row r="13" spans="1:14" x14ac:dyDescent="0.25">
      <c r="A13" s="11">
        <v>3</v>
      </c>
      <c r="B13" s="11" t="s">
        <v>14</v>
      </c>
      <c r="C13" s="55" t="s">
        <v>7</v>
      </c>
      <c r="D13" s="55" t="s">
        <v>82</v>
      </c>
      <c r="E13" s="3">
        <v>4</v>
      </c>
      <c r="F13" s="5">
        <v>171051.45001808117</v>
      </c>
      <c r="G13" s="62">
        <f>52172.66+37514+76199</f>
        <v>165885.66</v>
      </c>
      <c r="H13" s="8">
        <f t="shared" si="0"/>
        <v>5165.7900180811703</v>
      </c>
      <c r="I13" s="5">
        <v>0</v>
      </c>
      <c r="J13" s="9">
        <f t="shared" si="1"/>
        <v>454.58952159114301</v>
      </c>
      <c r="K13" s="44">
        <f>H13+I13+J13</f>
        <v>5620.3795396723135</v>
      </c>
      <c r="L13" s="5">
        <f>C7*E13/100</f>
        <v>37514.1008</v>
      </c>
      <c r="M13" s="5">
        <f>C8*E13/100</f>
        <v>0</v>
      </c>
      <c r="N13" s="44">
        <f>K13+L13+M13</f>
        <v>43134.480339672315</v>
      </c>
    </row>
    <row r="14" spans="1:14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45954.773480000003</v>
      </c>
      <c r="G14" s="62">
        <f t="shared" ref="G14" si="2">F14</f>
        <v>45954.773480000003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45954.773480000003</v>
      </c>
      <c r="M14" s="5">
        <f>C8*E14/100</f>
        <v>0</v>
      </c>
      <c r="N14" s="44">
        <f t="shared" ref="N14:N24" si="3">K14+L14+M14</f>
        <v>45954.773480000003</v>
      </c>
    </row>
    <row r="15" spans="1:14" x14ac:dyDescent="0.25">
      <c r="A15" s="11">
        <v>5</v>
      </c>
      <c r="B15" s="11" t="s">
        <v>15</v>
      </c>
      <c r="C15" s="55" t="s">
        <v>8</v>
      </c>
      <c r="D15" s="55" t="s">
        <v>73</v>
      </c>
      <c r="E15" s="1">
        <v>3.89</v>
      </c>
      <c r="F15" s="5">
        <v>76175.382802463995</v>
      </c>
      <c r="G15" s="62">
        <f t="shared" ref="G15:G22" si="4">F15</f>
        <v>76175.382802463995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36482.463027999998</v>
      </c>
      <c r="M15" s="5">
        <f>C8*E15/100</f>
        <v>0</v>
      </c>
      <c r="N15" s="44">
        <f>K15+L15+M15</f>
        <v>36482.463027999998</v>
      </c>
    </row>
    <row r="16" spans="1:14" x14ac:dyDescent="0.25">
      <c r="A16" s="11">
        <v>6</v>
      </c>
      <c r="B16" s="11" t="s">
        <v>16</v>
      </c>
      <c r="C16" s="55" t="s">
        <v>9</v>
      </c>
      <c r="D16" s="55" t="s">
        <v>79</v>
      </c>
      <c r="E16" s="3">
        <v>4</v>
      </c>
      <c r="F16" s="5">
        <v>48927.669161464939</v>
      </c>
      <c r="G16" s="62">
        <f t="shared" si="4"/>
        <v>48927.669161464939</v>
      </c>
      <c r="H16" s="8">
        <f t="shared" si="0"/>
        <v>0</v>
      </c>
      <c r="I16" s="5">
        <v>0</v>
      </c>
      <c r="J16" s="9">
        <f t="shared" si="1"/>
        <v>0</v>
      </c>
      <c r="K16" s="44">
        <f>H16+J16+I16</f>
        <v>0</v>
      </c>
      <c r="L16" s="5">
        <f>C7*E16/100</f>
        <v>37514.1008</v>
      </c>
      <c r="M16" s="5">
        <f>C8*E16/100</f>
        <v>0</v>
      </c>
      <c r="N16" s="44">
        <f t="shared" si="3"/>
        <v>37514.1008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45954.773480000003</v>
      </c>
      <c r="G17" s="62">
        <f t="shared" si="4"/>
        <v>45954.773480000003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45954.773480000003</v>
      </c>
      <c r="M17" s="5">
        <f>C8*E17/100</f>
        <v>0</v>
      </c>
      <c r="N17" s="44">
        <f>K17+L17+M17</f>
        <v>45954.773480000003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36468.319027999998</v>
      </c>
      <c r="G18" s="62">
        <f t="shared" si="4"/>
        <v>36468.319027999998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36482.463027999998</v>
      </c>
      <c r="M18" s="5">
        <f>C8*E18/100</f>
        <v>0</v>
      </c>
      <c r="N18" s="44">
        <f t="shared" si="3"/>
        <v>36482.463027999998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77</v>
      </c>
      <c r="E19" s="3">
        <v>4</v>
      </c>
      <c r="F19" s="5">
        <v>37514.1008</v>
      </c>
      <c r="G19" s="62">
        <f t="shared" si="4"/>
        <v>37514.1008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37514.1008</v>
      </c>
      <c r="M19" s="5">
        <f>C8*E19/100</f>
        <v>0</v>
      </c>
      <c r="N19" s="44">
        <f t="shared" si="3"/>
        <v>37514.1008</v>
      </c>
    </row>
    <row r="20" spans="1:14" x14ac:dyDescent="0.25">
      <c r="A20" s="11">
        <v>10</v>
      </c>
      <c r="B20" s="11" t="s">
        <v>22</v>
      </c>
      <c r="C20" s="55" t="s">
        <v>78</v>
      </c>
      <c r="D20" s="55"/>
      <c r="E20" s="1">
        <v>12.66</v>
      </c>
      <c r="F20" s="5">
        <v>118732.12903200001</v>
      </c>
      <c r="G20" s="62">
        <f t="shared" si="4"/>
        <v>118732.12903200001</v>
      </c>
      <c r="H20" s="8">
        <f t="shared" si="0"/>
        <v>0</v>
      </c>
      <c r="I20" s="5">
        <v>0</v>
      </c>
      <c r="J20" s="9">
        <f t="shared" si="1"/>
        <v>0</v>
      </c>
      <c r="K20" s="44">
        <f>H20+J20+I20</f>
        <v>0</v>
      </c>
      <c r="L20" s="5">
        <f>C7*E20/100</f>
        <v>118732.12903200001</v>
      </c>
      <c r="M20" s="5">
        <f>C8*E20/100</f>
        <v>0</v>
      </c>
      <c r="N20" s="44">
        <f>K20+L20+M20</f>
        <v>118732.12903200001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72683.570300000007</v>
      </c>
      <c r="G21" s="63">
        <f t="shared" si="4"/>
        <v>72683.570300000007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72683.570300000007</v>
      </c>
      <c r="M21" s="5">
        <f>C8*E21/100</f>
        <v>0</v>
      </c>
      <c r="N21" s="44">
        <f t="shared" si="3"/>
        <v>72683.570300000007</v>
      </c>
    </row>
    <row r="22" spans="1:14" x14ac:dyDescent="0.25">
      <c r="A22" s="11">
        <v>12</v>
      </c>
      <c r="B22" s="11" t="s">
        <v>24</v>
      </c>
      <c r="C22" s="55" t="s">
        <v>80</v>
      </c>
      <c r="D22" s="55" t="s">
        <v>75</v>
      </c>
      <c r="E22" s="1">
        <v>7.51</v>
      </c>
      <c r="F22" s="5">
        <v>230437.84297513549</v>
      </c>
      <c r="G22" s="62">
        <f t="shared" si="4"/>
        <v>230437.84297513549</v>
      </c>
      <c r="H22" s="8">
        <f t="shared" si="0"/>
        <v>0</v>
      </c>
      <c r="I22" s="5">
        <v>0</v>
      </c>
      <c r="J22" s="9">
        <f t="shared" si="1"/>
        <v>0</v>
      </c>
      <c r="K22" s="44">
        <f t="shared" ref="K22:K24" si="6">H22+J22+I22</f>
        <v>0</v>
      </c>
      <c r="L22" s="5">
        <f>C7*E22/100</f>
        <v>70432.724252</v>
      </c>
      <c r="M22" s="5">
        <f>C8*E22/100</f>
        <v>0</v>
      </c>
      <c r="N22" s="44">
        <f t="shared" si="3"/>
        <v>70432.724252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213377.25591149263</v>
      </c>
      <c r="G23" s="62">
        <f>F23</f>
        <v>213377.25591149263</v>
      </c>
      <c r="H23" s="8">
        <f t="shared" si="0"/>
        <v>0</v>
      </c>
      <c r="I23" s="5">
        <v>0</v>
      </c>
      <c r="J23" s="9">
        <f t="shared" si="1"/>
        <v>0</v>
      </c>
      <c r="K23" s="44">
        <f>H23+J23+I23</f>
        <v>0</v>
      </c>
      <c r="L23" s="5">
        <f>C7*E23/100</f>
        <v>41734.437140000002</v>
      </c>
      <c r="M23" s="5">
        <f>C8*E23/100</f>
        <v>0</v>
      </c>
      <c r="N23" s="44">
        <f>K23+L23+M23</f>
        <v>41734.437140000002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57865.500483999997</v>
      </c>
      <c r="G24" s="62">
        <f>F24</f>
        <v>57865.500483999997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57865.500483999997</v>
      </c>
      <c r="M24" s="5">
        <f>C8*E24/100</f>
        <v>0</v>
      </c>
      <c r="N24" s="44">
        <f t="shared" si="3"/>
        <v>57865.500483999997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76</v>
      </c>
      <c r="E25" s="1">
        <v>4.45</v>
      </c>
      <c r="F25" s="5">
        <v>120460.49805017217</v>
      </c>
      <c r="G25" s="62"/>
      <c r="H25" s="8">
        <f t="shared" si="0"/>
        <v>120460.49805017217</v>
      </c>
      <c r="I25" s="5">
        <v>0</v>
      </c>
      <c r="J25" s="9">
        <f t="shared" si="1"/>
        <v>10600.523828415153</v>
      </c>
      <c r="K25" s="44">
        <f>H25+J25+I25</f>
        <v>131061.02187858733</v>
      </c>
      <c r="L25" s="5">
        <f>C7*E25/100+1</f>
        <v>41735.437140000002</v>
      </c>
      <c r="M25" s="5">
        <f>C8*E25/100</f>
        <v>0</v>
      </c>
      <c r="N25" s="44">
        <f>K25+L25+M25</f>
        <v>172796.45901858734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396009.64466961648</v>
      </c>
      <c r="G26" s="62">
        <v>86190</v>
      </c>
      <c r="H26" s="8">
        <f t="shared" si="0"/>
        <v>309819.64466961648</v>
      </c>
      <c r="I26" s="5">
        <v>0</v>
      </c>
      <c r="J26" s="9">
        <f t="shared" si="1"/>
        <v>27264.128730926252</v>
      </c>
      <c r="K26" s="44">
        <f>H26+J26+I26</f>
        <v>337083.77340054273</v>
      </c>
      <c r="L26" s="5">
        <f>C7*E26/100+1</f>
        <v>86189.646588000003</v>
      </c>
      <c r="M26" s="5">
        <f>C8*E26/100</f>
        <v>0</v>
      </c>
      <c r="N26" s="44">
        <f>K26+L26+M26</f>
        <v>423273.41998854274</v>
      </c>
    </row>
    <row r="27" spans="1:14" x14ac:dyDescent="0.25">
      <c r="A27" s="11">
        <v>17</v>
      </c>
      <c r="B27" s="11" t="s">
        <v>34</v>
      </c>
      <c r="C27" s="55" t="s">
        <v>26</v>
      </c>
      <c r="D27" s="55"/>
      <c r="E27" s="1">
        <v>1.18</v>
      </c>
      <c r="F27" s="5">
        <v>11067.659736</v>
      </c>
      <c r="G27" s="62">
        <f>F27</f>
        <v>11067.659736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11067.659736</v>
      </c>
      <c r="M27" s="5">
        <f>C8*E27/100</f>
        <v>0</v>
      </c>
      <c r="N27" s="44">
        <f>K27+L27+M27</f>
        <v>11067.659736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11067.659736</v>
      </c>
      <c r="G28" s="62">
        <f>F28</f>
        <v>11067.659736</v>
      </c>
      <c r="H28" s="8">
        <f t="shared" si="0"/>
        <v>0</v>
      </c>
      <c r="I28" s="5">
        <v>0</v>
      </c>
      <c r="J28" s="9">
        <f t="shared" si="1"/>
        <v>0</v>
      </c>
      <c r="K28" s="44">
        <f t="shared" si="7"/>
        <v>0</v>
      </c>
      <c r="L28" s="5">
        <f>C7*E28/100+1</f>
        <v>11067.659736</v>
      </c>
      <c r="M28" s="5">
        <f>C8*E28/100</f>
        <v>0</v>
      </c>
      <c r="N28" s="44">
        <f t="shared" ref="N28:N34" si="8">K28+L28+M28</f>
        <v>11067.659736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11067.659736</v>
      </c>
      <c r="G29" s="62">
        <f t="shared" ref="G29:G33" si="9">F29</f>
        <v>11067.659736</v>
      </c>
      <c r="H29" s="8">
        <f t="shared" si="0"/>
        <v>0</v>
      </c>
      <c r="I29" s="5">
        <v>0</v>
      </c>
      <c r="J29" s="9">
        <f t="shared" si="1"/>
        <v>0</v>
      </c>
      <c r="K29" s="44">
        <f t="shared" si="7"/>
        <v>0</v>
      </c>
      <c r="L29" s="5">
        <f>C7*E29/100+1</f>
        <v>11067.659736</v>
      </c>
      <c r="M29" s="5">
        <f>C8*E29/100</f>
        <v>0</v>
      </c>
      <c r="N29" s="44">
        <f t="shared" si="8"/>
        <v>11067.659736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50464.737412805945</v>
      </c>
      <c r="G30" s="62">
        <v>11068</v>
      </c>
      <c r="H30" s="60">
        <f t="shared" si="0"/>
        <v>39396.737412805945</v>
      </c>
      <c r="I30" s="5">
        <v>0</v>
      </c>
      <c r="J30" s="9">
        <f t="shared" si="1"/>
        <v>3466.9128923269236</v>
      </c>
      <c r="K30" s="44">
        <f t="shared" si="7"/>
        <v>42863.650305132869</v>
      </c>
      <c r="L30" s="5">
        <f>C7*E30/100+1</f>
        <v>11067.659736</v>
      </c>
      <c r="M30" s="5">
        <f>C8*E30/100</f>
        <v>0</v>
      </c>
      <c r="N30" s="44">
        <f>K30+L30+M30</f>
        <v>53931.310041132871</v>
      </c>
    </row>
    <row r="31" spans="1:14" x14ac:dyDescent="0.25">
      <c r="A31" s="11">
        <v>21</v>
      </c>
      <c r="B31" s="11" t="s">
        <v>38</v>
      </c>
      <c r="C31" s="55" t="s">
        <v>78</v>
      </c>
      <c r="D31" s="55"/>
      <c r="E31" s="1">
        <v>1.18</v>
      </c>
      <c r="F31" s="5">
        <v>11067.659736</v>
      </c>
      <c r="G31" s="62">
        <f t="shared" si="9"/>
        <v>11067.659736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11067.659736</v>
      </c>
      <c r="M31" s="5">
        <f>C8*E31/100</f>
        <v>0</v>
      </c>
      <c r="N31" s="44">
        <f>K31+L31+M31</f>
        <v>11067.659736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11067.659736</v>
      </c>
      <c r="G32" s="62"/>
      <c r="H32" s="8">
        <f t="shared" si="0"/>
        <v>11067.659736</v>
      </c>
      <c r="I32" s="5">
        <v>0</v>
      </c>
      <c r="J32" s="9">
        <f t="shared" si="1"/>
        <v>973.9540567680001</v>
      </c>
      <c r="K32" s="44">
        <f t="shared" si="7"/>
        <v>12041.613792767999</v>
      </c>
      <c r="L32" s="5">
        <f>C7*E32/100+1</f>
        <v>11067.659736</v>
      </c>
      <c r="M32" s="5">
        <f>C8*E32/100</f>
        <v>0</v>
      </c>
      <c r="N32" s="44">
        <f t="shared" si="8"/>
        <v>23109.273528767997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11067.659736</v>
      </c>
      <c r="G33" s="62">
        <f t="shared" si="9"/>
        <v>11067.659736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11067.659736</v>
      </c>
      <c r="M33" s="5">
        <f>C8*E33/100</f>
        <v>0</v>
      </c>
      <c r="N33" s="44">
        <f>K33+L33+M33</f>
        <v>11067.659736</v>
      </c>
      <c r="O33" s="59"/>
    </row>
    <row r="34" spans="1:15" x14ac:dyDescent="0.25">
      <c r="A34" s="11">
        <v>24</v>
      </c>
      <c r="B34" s="11" t="s">
        <v>41</v>
      </c>
      <c r="C34" s="55" t="s">
        <v>80</v>
      </c>
      <c r="D34" s="55"/>
      <c r="E34" s="1">
        <v>1.18</v>
      </c>
      <c r="F34" s="5">
        <v>36210.549335299584</v>
      </c>
      <c r="G34" s="62">
        <f>F34</f>
        <v>36210.549335299584</v>
      </c>
      <c r="H34" s="8">
        <f t="shared" si="0"/>
        <v>0</v>
      </c>
      <c r="I34" s="5">
        <v>0</v>
      </c>
      <c r="J34" s="9">
        <f t="shared" si="1"/>
        <v>0</v>
      </c>
      <c r="K34" s="44">
        <f t="shared" si="7"/>
        <v>0</v>
      </c>
      <c r="L34" s="5">
        <f>C7*E34/100+1</f>
        <v>11067.659736</v>
      </c>
      <c r="M34" s="5">
        <f>C8*E34/100</f>
        <v>0</v>
      </c>
      <c r="N34" s="44">
        <f t="shared" si="8"/>
        <v>11067.659736</v>
      </c>
    </row>
    <row r="35" spans="1:15" s="4" customFormat="1" ht="21" x14ac:dyDescent="0.35">
      <c r="A35" s="64" t="s">
        <v>42</v>
      </c>
      <c r="B35" s="64"/>
      <c r="C35" s="64"/>
      <c r="D35" s="52"/>
      <c r="E35" s="45">
        <f>SUM(E11:E34)</f>
        <v>99.990000000000066</v>
      </c>
      <c r="F35" s="46">
        <f>SUM(F11:F34)</f>
        <v>2151785.1502784621</v>
      </c>
      <c r="G35" s="61">
        <f>SUM(G11:G34)</f>
        <v>1384738.5989498566</v>
      </c>
      <c r="H35" s="47">
        <f>SUM(H11:H34)</f>
        <v>767046.55132860597</v>
      </c>
      <c r="I35" s="47">
        <f>SUM(I12:I34)</f>
        <v>0</v>
      </c>
      <c r="J35" s="48">
        <f>SUM(J11:J34)</f>
        <v>67500.096516917329</v>
      </c>
      <c r="K35" s="48"/>
      <c r="L35" s="47">
        <f>SUM(L11:L34)</f>
        <v>937768.73474800005</v>
      </c>
      <c r="M35" s="51">
        <f>SUM(M11:M34)</f>
        <v>0</v>
      </c>
      <c r="N35" s="56">
        <f>SUM(N11:N34)</f>
        <v>1772315.3825935232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0" t="s">
        <v>42</v>
      </c>
      <c r="B29" s="70"/>
      <c r="C29" s="70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2025-02-03T19:10:46Z</cp:lastPrinted>
  <dcterms:created xsi:type="dcterms:W3CDTF">2021-10-25T13:53:39Z</dcterms:created>
  <dcterms:modified xsi:type="dcterms:W3CDTF">2025-04-03T12:34:40Z</dcterms:modified>
</cp:coreProperties>
</file>