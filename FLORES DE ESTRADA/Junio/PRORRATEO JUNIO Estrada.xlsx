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FLORES DE ESTRADA\Mayo\"/>
    </mc:Choice>
  </mc:AlternateContent>
  <xr:revisionPtr revIDLastSave="0" documentId="13_ncr:1_{D79BCAA0-A142-48F8-8571-A7B0652F7C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la" sheetId="1" r:id="rId1"/>
    <sheet name="ARBA TSG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0" i="1" l="1"/>
  <c r="G34" i="1" l="1"/>
  <c r="G22" i="1"/>
  <c r="G13" i="1"/>
  <c r="G19" i="1"/>
  <c r="G11" i="1" l="1"/>
  <c r="G32" i="1"/>
  <c r="G15" i="1" l="1"/>
  <c r="G18" i="1"/>
  <c r="G27" i="1" l="1"/>
  <c r="G21" i="1"/>
  <c r="G17" i="1" l="1"/>
  <c r="G31" i="1" l="1"/>
  <c r="G33" i="1" l="1"/>
  <c r="G24" i="1" l="1"/>
  <c r="G14" i="1" l="1"/>
  <c r="L11" i="1" l="1"/>
  <c r="G21" i="2" l="1"/>
  <c r="G15" i="2"/>
  <c r="G11" i="2"/>
  <c r="G8" i="2"/>
  <c r="F35" i="1"/>
  <c r="G18" i="2" l="1"/>
  <c r="G24" i="2"/>
  <c r="G26" i="2"/>
  <c r="H26" i="2" s="1"/>
  <c r="G28" i="2"/>
  <c r="G17" i="2"/>
  <c r="H8" i="2"/>
  <c r="H11" i="2"/>
  <c r="H14" i="2"/>
  <c r="H15" i="2"/>
  <c r="H17" i="2"/>
  <c r="H18" i="2"/>
  <c r="H19" i="2"/>
  <c r="H20" i="2"/>
  <c r="H21" i="2"/>
  <c r="H22" i="2"/>
  <c r="H23" i="2"/>
  <c r="H24" i="2"/>
  <c r="H25" i="2"/>
  <c r="H27" i="2"/>
  <c r="H28" i="2"/>
  <c r="H17" i="1"/>
  <c r="J17" i="1" s="1"/>
  <c r="H19" i="1"/>
  <c r="J19" i="1" s="1"/>
  <c r="H31" i="1"/>
  <c r="H32" i="1"/>
  <c r="H13" i="1"/>
  <c r="H14" i="1"/>
  <c r="J14" i="1" s="1"/>
  <c r="H15" i="1"/>
  <c r="J15" i="1" s="1"/>
  <c r="H16" i="1"/>
  <c r="J16" i="1" s="1"/>
  <c r="H18" i="1"/>
  <c r="J18" i="1" s="1"/>
  <c r="H21" i="1"/>
  <c r="J21" i="1" s="1"/>
  <c r="H22" i="1"/>
  <c r="J22" i="1" s="1"/>
  <c r="H23" i="1"/>
  <c r="J23" i="1" s="1"/>
  <c r="H24" i="1"/>
  <c r="J24" i="1" s="1"/>
  <c r="H26" i="1"/>
  <c r="J26" i="1" s="1"/>
  <c r="H28" i="1"/>
  <c r="H29" i="1"/>
  <c r="H30" i="1"/>
  <c r="H33" i="1"/>
  <c r="J13" i="1" l="1"/>
  <c r="K13" i="1" s="1"/>
  <c r="J33" i="1"/>
  <c r="K33" i="1" s="1"/>
  <c r="J28" i="1"/>
  <c r="K28" i="1" s="1"/>
  <c r="J31" i="1"/>
  <c r="K31" i="1" s="1"/>
  <c r="J30" i="1"/>
  <c r="K30" i="1" s="1"/>
  <c r="J29" i="1"/>
  <c r="K29" i="1" s="1"/>
  <c r="J32" i="1"/>
  <c r="K32" i="1" s="1"/>
  <c r="G5" i="2"/>
  <c r="H5" i="2" s="1"/>
  <c r="L25" i="1" l="1"/>
  <c r="L26" i="1"/>
  <c r="L34" i="1"/>
  <c r="L33" i="1"/>
  <c r="L32" i="1"/>
  <c r="L31" i="1"/>
  <c r="L30" i="1"/>
  <c r="L29" i="1"/>
  <c r="L28" i="1"/>
  <c r="L27" i="1"/>
  <c r="E35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F29" i="2"/>
  <c r="G16" i="2"/>
  <c r="H16" i="2" s="1"/>
  <c r="G13" i="2"/>
  <c r="H13" i="2" s="1"/>
  <c r="G12" i="2"/>
  <c r="H12" i="2" s="1"/>
  <c r="G10" i="2"/>
  <c r="H10" i="2" s="1"/>
  <c r="G9" i="2"/>
  <c r="H9" i="2" s="1"/>
  <c r="G7" i="2"/>
  <c r="H7" i="2" s="1"/>
  <c r="G6" i="2"/>
  <c r="H6" i="2" s="1"/>
  <c r="H29" i="2" l="1"/>
  <c r="E6" i="2"/>
  <c r="I35" i="1" l="1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5" i="2"/>
  <c r="D29" i="2"/>
  <c r="G29" i="2" l="1"/>
  <c r="E29" i="2"/>
  <c r="M20" i="1" l="1"/>
  <c r="H11" i="1"/>
  <c r="J11" i="1" s="1"/>
  <c r="K11" i="1" l="1"/>
  <c r="K26" i="1"/>
  <c r="K24" i="1"/>
  <c r="K23" i="1"/>
  <c r="K22" i="1"/>
  <c r="K21" i="1"/>
  <c r="K18" i="1"/>
  <c r="K17" i="1"/>
  <c r="K16" i="1"/>
  <c r="K14" i="1"/>
  <c r="K15" i="1" l="1"/>
  <c r="M11" i="1" l="1"/>
  <c r="N11" i="1" s="1"/>
  <c r="M34" i="1"/>
  <c r="M33" i="1"/>
  <c r="N33" i="1" s="1"/>
  <c r="M32" i="1"/>
  <c r="N32" i="1" s="1"/>
  <c r="M31" i="1"/>
  <c r="N31" i="1" s="1"/>
  <c r="M30" i="1"/>
  <c r="N30" i="1" s="1"/>
  <c r="M29" i="1"/>
  <c r="N29" i="1" s="1"/>
  <c r="M28" i="1"/>
  <c r="N28" i="1" s="1"/>
  <c r="M27" i="1"/>
  <c r="M26" i="1"/>
  <c r="N26" i="1" s="1"/>
  <c r="M25" i="1"/>
  <c r="M24" i="1"/>
  <c r="N24" i="1" s="1"/>
  <c r="M23" i="1"/>
  <c r="N23" i="1" s="1"/>
  <c r="M22" i="1"/>
  <c r="N22" i="1" s="1"/>
  <c r="M21" i="1"/>
  <c r="N21" i="1" s="1"/>
  <c r="M19" i="1"/>
  <c r="M18" i="1"/>
  <c r="N18" i="1" s="1"/>
  <c r="M17" i="1"/>
  <c r="N17" i="1" s="1"/>
  <c r="M16" i="1"/>
  <c r="N16" i="1" s="1"/>
  <c r="M15" i="1"/>
  <c r="N15" i="1" s="1"/>
  <c r="M14" i="1"/>
  <c r="N14" i="1" s="1"/>
  <c r="M13" i="1"/>
  <c r="N13" i="1" s="1"/>
  <c r="M12" i="1"/>
  <c r="M35" i="1" l="1"/>
  <c r="L35" i="1" l="1"/>
  <c r="K19" i="1"/>
  <c r="N19" i="1" s="1"/>
  <c r="H25" i="1"/>
  <c r="J25" i="1" s="1"/>
  <c r="K25" i="1" l="1"/>
  <c r="N25" i="1" s="1"/>
  <c r="H27" i="1"/>
  <c r="J27" i="1" l="1"/>
  <c r="K27" i="1" s="1"/>
  <c r="N27" i="1" l="1"/>
  <c r="H12" i="1" l="1"/>
  <c r="J12" i="1" l="1"/>
  <c r="K12" i="1" l="1"/>
  <c r="N12" i="1" s="1"/>
  <c r="H20" i="1" l="1"/>
  <c r="J20" i="1" s="1"/>
  <c r="K20" i="1" l="1"/>
  <c r="N20" i="1" s="1"/>
  <c r="G35" i="1"/>
  <c r="H34" i="1"/>
  <c r="H35" i="1" l="1"/>
  <c r="J34" i="1"/>
  <c r="J35" i="1" s="1"/>
  <c r="K34" i="1" l="1"/>
  <c r="N34" i="1" s="1"/>
  <c r="N35" i="1" s="1"/>
</calcChain>
</file>

<file path=xl/sharedStrings.xml><?xml version="1.0" encoding="utf-8"?>
<sst xmlns="http://schemas.openxmlformats.org/spreadsheetml/2006/main" count="145" uniqueCount="83">
  <si>
    <t>Domicilio:</t>
  </si>
  <si>
    <t>Localidad:</t>
  </si>
  <si>
    <t>U.F.</t>
  </si>
  <si>
    <t>PROPIETARIOS</t>
  </si>
  <si>
    <t>NICOLAU, IGNACIO</t>
  </si>
  <si>
    <t>STARK, CARLOS L. FRANCIS</t>
  </si>
  <si>
    <t>PISO - DEPTO</t>
  </si>
  <si>
    <t>BOSSIO, GERARDO</t>
  </si>
  <si>
    <t>ALONSO,GUSTAVO OSAVALDO</t>
  </si>
  <si>
    <t>PUGLIESE, FRANCISCO</t>
  </si>
  <si>
    <t>NIEVA, DANIELA ANTONELA</t>
  </si>
  <si>
    <t>1 -A</t>
  </si>
  <si>
    <t>1-B</t>
  </si>
  <si>
    <t>2 -A</t>
  </si>
  <si>
    <t>1-C</t>
  </si>
  <si>
    <t>2-B</t>
  </si>
  <si>
    <t>2-C</t>
  </si>
  <si>
    <t>3-A</t>
  </si>
  <si>
    <t>3-B</t>
  </si>
  <si>
    <t>BALBIS, MARISA</t>
  </si>
  <si>
    <t>3-C</t>
  </si>
  <si>
    <t>NIEVA, PEDRO DANIEL</t>
  </si>
  <si>
    <t>4 -A</t>
  </si>
  <si>
    <t>4-B</t>
  </si>
  <si>
    <t>4-C</t>
  </si>
  <si>
    <t xml:space="preserve">MOSQUERA FERNANDO </t>
  </si>
  <si>
    <t>BEARZOTTI, EDGARDO OSCAR</t>
  </si>
  <si>
    <t>URSO, MATIAS EZEQUIEL</t>
  </si>
  <si>
    <t>6 -A</t>
  </si>
  <si>
    <t>6-B</t>
  </si>
  <si>
    <t>BRESCIA, MELODY ELIZABETH</t>
  </si>
  <si>
    <t>SORIA, JUAN CRUZ</t>
  </si>
  <si>
    <t>7-A</t>
  </si>
  <si>
    <t>7-B</t>
  </si>
  <si>
    <t>0-COCHO 1</t>
  </si>
  <si>
    <t>0-COCHO 2</t>
  </si>
  <si>
    <t>0-COCHO 3</t>
  </si>
  <si>
    <t>0-COCHO 4</t>
  </si>
  <si>
    <t>0-COCHO 5</t>
  </si>
  <si>
    <t>0-COCHO 6</t>
  </si>
  <si>
    <t>0-COCHO 7</t>
  </si>
  <si>
    <t>0-COCHO 8</t>
  </si>
  <si>
    <t>TOTALES</t>
  </si>
  <si>
    <t>BELON, SERGIO</t>
  </si>
  <si>
    <t xml:space="preserve">PAGOS </t>
  </si>
  <si>
    <t>CUIT:</t>
  </si>
  <si>
    <t xml:space="preserve">CEL: </t>
  </si>
  <si>
    <t>e-mail:</t>
  </si>
  <si>
    <t>RUDDOCK, ANGEL</t>
  </si>
  <si>
    <t>Gasto Ordinario</t>
  </si>
  <si>
    <t>SALDO MES ANTERIOR</t>
  </si>
  <si>
    <t>Total a Pagar</t>
  </si>
  <si>
    <t>floresdestrada5065@gmail.com</t>
  </si>
  <si>
    <t>Total con Mora</t>
  </si>
  <si>
    <t>Gasto Extr.</t>
  </si>
  <si>
    <t>FLORES DE ESTRADA Nº 5065</t>
  </si>
  <si>
    <t>Gastos Ord.</t>
  </si>
  <si>
    <t>Gastos Extr.</t>
  </si>
  <si>
    <t xml:space="preserve">% </t>
  </si>
  <si>
    <t>ARBA</t>
  </si>
  <si>
    <t>Total ARBA:</t>
  </si>
  <si>
    <t>Total TSG:</t>
  </si>
  <si>
    <t xml:space="preserve">TOTAL DEUDA </t>
  </si>
  <si>
    <t>DEUDA PENDIENTE</t>
  </si>
  <si>
    <t>TSG - PAGOS</t>
  </si>
  <si>
    <t xml:space="preserve">DEUDA </t>
  </si>
  <si>
    <t>INQUILINOS</t>
  </si>
  <si>
    <t>Gonzalo</t>
  </si>
  <si>
    <t>Agustina</t>
  </si>
  <si>
    <t>Fausto</t>
  </si>
  <si>
    <t>Interés por Mora 8,8%</t>
  </si>
  <si>
    <t>ADMINISTRADORA: CAROLINA CANCIANI</t>
  </si>
  <si>
    <t>Tomas</t>
  </si>
  <si>
    <t>Juan</t>
  </si>
  <si>
    <t>Daniel</t>
  </si>
  <si>
    <t>Raquel</t>
  </si>
  <si>
    <t>Yoleidy</t>
  </si>
  <si>
    <t>ALCOLEAS, CRISTIAN</t>
  </si>
  <si>
    <t xml:space="preserve">Ricardo </t>
  </si>
  <si>
    <t>PAWLAK, MARCOS</t>
  </si>
  <si>
    <t xml:space="preserve">Antonella </t>
  </si>
  <si>
    <t>EXPENSAS - VENCIMIENTO 10/06 LIQUIDACION : MAYO</t>
  </si>
  <si>
    <t>Federico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</si>
</sst>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-&quot;$&quot;\ * #,##0_-;\-&quot;$&quot;\ * #,##0_-;_-&quot;$&quot;\ * &quot;-&quot;??_-;_-@_-"/>
    <numFmt numFmtId="167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43" fontId="0" fillId="0" borderId="1" xfId="1" applyFont="1" applyBorder="1"/>
    <xf numFmtId="2" fontId="0" fillId="0" borderId="1" xfId="0" applyNumberFormat="1" applyBorder="1"/>
    <xf numFmtId="0" fontId="4" fillId="0" borderId="0" xfId="0" applyFont="1"/>
    <xf numFmtId="166" fontId="0" fillId="0" borderId="1" xfId="2" applyNumberFormat="1" applyFont="1" applyBorder="1"/>
    <xf numFmtId="166" fontId="0" fillId="0" borderId="0" xfId="2" applyNumberFormat="1" applyFont="1"/>
    <xf numFmtId="166" fontId="0" fillId="0" borderId="0" xfId="2" applyNumberFormat="1" applyFont="1" applyBorder="1"/>
    <xf numFmtId="165" fontId="0" fillId="0" borderId="1" xfId="2" applyFont="1" applyBorder="1"/>
    <xf numFmtId="165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/>
    <xf numFmtId="0" fontId="0" fillId="0" borderId="5" xfId="0" applyBorder="1" applyAlignment="1">
      <alignment horizontal="left"/>
    </xf>
    <xf numFmtId="0" fontId="2" fillId="0" borderId="5" xfId="0" applyFont="1" applyBorder="1" applyAlignment="1">
      <alignment horizontal="left"/>
    </xf>
    <xf numFmtId="166" fontId="2" fillId="0" borderId="0" xfId="2" applyNumberFormat="1" applyFont="1" applyBorder="1"/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166" fontId="2" fillId="2" borderId="7" xfId="2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165" fontId="0" fillId="0" borderId="9" xfId="2" applyFont="1" applyBorder="1"/>
    <xf numFmtId="0" fontId="0" fillId="0" borderId="9" xfId="0" applyBorder="1"/>
    <xf numFmtId="166" fontId="0" fillId="0" borderId="9" xfId="2" applyNumberFormat="1" applyFont="1" applyBorder="1"/>
    <xf numFmtId="0" fontId="0" fillId="0" borderId="10" xfId="0" applyBorder="1"/>
    <xf numFmtId="0" fontId="5" fillId="0" borderId="0" xfId="3" applyBorder="1"/>
    <xf numFmtId="0" fontId="2" fillId="0" borderId="0" xfId="0" applyFont="1"/>
    <xf numFmtId="166" fontId="2" fillId="3" borderId="0" xfId="2" applyNumberFormat="1" applyFont="1" applyFill="1" applyBorder="1" applyAlignment="1">
      <alignment horizontal="center" vertical="center" wrapText="1"/>
    </xf>
    <xf numFmtId="167" fontId="6" fillId="2" borderId="1" xfId="1" applyNumberFormat="1" applyFont="1" applyFill="1" applyBorder="1"/>
    <xf numFmtId="9" fontId="0" fillId="0" borderId="9" xfId="4" applyFont="1" applyBorder="1"/>
    <xf numFmtId="165" fontId="2" fillId="0" borderId="0" xfId="2" applyFont="1" applyBorder="1"/>
    <xf numFmtId="0" fontId="0" fillId="0" borderId="7" xfId="0" applyBorder="1" applyAlignment="1">
      <alignment horizontal="center"/>
    </xf>
    <xf numFmtId="0" fontId="0" fillId="0" borderId="7" xfId="0" applyBorder="1"/>
    <xf numFmtId="43" fontId="0" fillId="0" borderId="7" xfId="1" applyFont="1" applyBorder="1"/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166" fontId="2" fillId="2" borderId="12" xfId="2" applyNumberFormat="1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165" fontId="2" fillId="0" borderId="0" xfId="2" applyFont="1"/>
    <xf numFmtId="165" fontId="0" fillId="0" borderId="7" xfId="2" applyFont="1" applyBorder="1"/>
    <xf numFmtId="165" fontId="7" fillId="2" borderId="1" xfId="2" applyFont="1" applyFill="1" applyBorder="1"/>
    <xf numFmtId="165" fontId="0" fillId="0" borderId="7" xfId="2" applyFont="1" applyBorder="1" applyAlignment="1">
      <alignment horizontal="left"/>
    </xf>
    <xf numFmtId="165" fontId="0" fillId="0" borderId="1" xfId="2" applyFont="1" applyBorder="1" applyAlignment="1">
      <alignment horizontal="left"/>
    </xf>
    <xf numFmtId="0" fontId="2" fillId="2" borderId="13" xfId="0" applyFont="1" applyFill="1" applyBorder="1" applyAlignment="1">
      <alignment horizontal="center" vertical="center" wrapText="1"/>
    </xf>
    <xf numFmtId="166" fontId="0" fillId="0" borderId="1" xfId="0" applyNumberFormat="1" applyBorder="1"/>
    <xf numFmtId="167" fontId="8" fillId="2" borderId="1" xfId="1" applyNumberFormat="1" applyFont="1" applyFill="1" applyBorder="1"/>
    <xf numFmtId="165" fontId="8" fillId="2" borderId="1" xfId="2" applyFont="1" applyFill="1" applyBorder="1"/>
    <xf numFmtId="166" fontId="8" fillId="2" borderId="1" xfId="2" applyNumberFormat="1" applyFont="1" applyFill="1" applyBorder="1"/>
    <xf numFmtId="165" fontId="8" fillId="2" borderId="1" xfId="0" applyNumberFormat="1" applyFont="1" applyFill="1" applyBorder="1"/>
    <xf numFmtId="0" fontId="0" fillId="3" borderId="1" xfId="0" applyFill="1" applyBorder="1"/>
    <xf numFmtId="164" fontId="10" fillId="3" borderId="14" xfId="0" applyNumberFormat="1" applyFont="1" applyFill="1" applyBorder="1" applyAlignment="1">
      <alignment horizontal="right"/>
    </xf>
    <xf numFmtId="165" fontId="11" fillId="2" borderId="1" xfId="2" applyFont="1" applyFill="1" applyBorder="1"/>
    <xf numFmtId="0" fontId="8" fillId="2" borderId="1" xfId="0" applyFont="1" applyFill="1" applyBorder="1" applyAlignment="1">
      <alignment horizontal="center"/>
    </xf>
    <xf numFmtId="164" fontId="10" fillId="3" borderId="0" xfId="0" applyNumberFormat="1" applyFont="1" applyFill="1" applyAlignment="1">
      <alignment horizontal="right"/>
    </xf>
    <xf numFmtId="0" fontId="12" fillId="2" borderId="7" xfId="0" applyFont="1" applyFill="1" applyBorder="1" applyAlignment="1">
      <alignment horizontal="center" vertical="center"/>
    </xf>
    <xf numFmtId="0" fontId="13" fillId="0" borderId="1" xfId="0" applyFont="1" applyBorder="1"/>
    <xf numFmtId="166" fontId="14" fillId="2" borderId="1" xfId="0" applyNumberFormat="1" applyFont="1" applyFill="1" applyBorder="1"/>
    <xf numFmtId="0" fontId="13" fillId="0" borderId="0" xfId="0" applyFont="1" applyAlignment="1">
      <alignment horizontal="left"/>
    </xf>
    <xf numFmtId="166" fontId="2" fillId="0" borderId="0" xfId="2" applyNumberFormat="1" applyFont="1" applyBorder="1" applyAlignment="1"/>
    <xf numFmtId="0" fontId="0" fillId="3" borderId="0" xfId="0" applyFill="1"/>
    <xf numFmtId="165" fontId="9" fillId="0" borderId="1" xfId="2" applyFont="1" applyBorder="1"/>
    <xf numFmtId="166" fontId="15" fillId="2" borderId="1" xfId="2" applyNumberFormat="1" applyFont="1" applyFill="1" applyBorder="1"/>
    <xf numFmtId="166" fontId="9" fillId="3" borderId="1" xfId="2" applyNumberFormat="1" applyFont="1" applyFill="1" applyBorder="1"/>
    <xf numFmtId="166" fontId="9" fillId="0" borderId="0" xfId="2" applyNumberFormat="1" applyFont="1"/>
    <xf numFmtId="0" fontId="8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</cellXfs>
  <cellStyles count="5">
    <cellStyle name="Hipervínculo" xfId="3" builtinId="8"/>
    <cellStyle name="Millares" xfId="1" builtinId="3"/>
    <cellStyle name="Moneda" xfId="2" builtinId="4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91089</xdr:colOff>
      <xdr:row>1</xdr:row>
      <xdr:rowOff>66675</xdr:rowOff>
    </xdr:from>
    <xdr:to>
      <xdr:col>7</xdr:col>
      <xdr:colOff>571500</xdr:colOff>
      <xdr:row>7</xdr:row>
      <xdr:rowOff>187043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4764" y="400050"/>
          <a:ext cx="3099786" cy="1263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loresdestrada5065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topLeftCell="B16" zoomScaleNormal="100" workbookViewId="0">
      <selection activeCell="G21" sqref="G21"/>
    </sheetView>
  </sheetViews>
  <sheetFormatPr baseColWidth="10" defaultRowHeight="15" x14ac:dyDescent="0.25"/>
  <cols>
    <col min="1" max="1" width="9.5703125" style="10" hidden="1" customWidth="1"/>
    <col min="2" max="2" width="12.7109375" bestFit="1" customWidth="1"/>
    <col min="3" max="3" width="22.42578125" customWidth="1"/>
    <col min="4" max="4" width="12.5703125" customWidth="1"/>
    <col min="5" max="5" width="7.28515625" bestFit="1" customWidth="1"/>
    <col min="6" max="6" width="18" style="6" bestFit="1" customWidth="1"/>
    <col min="7" max="7" width="14" style="6" bestFit="1" customWidth="1"/>
    <col min="8" max="8" width="13.7109375" style="6" customWidth="1"/>
    <col min="9" max="9" width="8.42578125" style="6" hidden="1" customWidth="1"/>
    <col min="10" max="10" width="14.85546875" customWidth="1"/>
    <col min="11" max="11" width="11.28515625" customWidth="1"/>
    <col min="12" max="12" width="14" customWidth="1"/>
    <col min="13" max="13" width="11" customWidth="1"/>
    <col min="14" max="14" width="12.85546875" bestFit="1" customWidth="1"/>
  </cols>
  <sheetData>
    <row r="1" spans="1:14" ht="26.25" customHeight="1" x14ac:dyDescent="0.25">
      <c r="A1" s="67" t="s">
        <v>81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9"/>
    </row>
    <row r="2" spans="1:14" x14ac:dyDescent="0.25">
      <c r="A2" s="13"/>
      <c r="F2" s="7"/>
      <c r="G2" s="7"/>
      <c r="H2" s="7"/>
      <c r="I2" s="25" t="s">
        <v>55</v>
      </c>
      <c r="N2" s="12"/>
    </row>
    <row r="3" spans="1:14" x14ac:dyDescent="0.25">
      <c r="A3" s="14" t="s">
        <v>0</v>
      </c>
      <c r="F3" s="7"/>
      <c r="G3" s="7"/>
      <c r="I3" s="58" t="s">
        <v>71</v>
      </c>
      <c r="J3" s="57"/>
      <c r="N3" s="12"/>
    </row>
    <row r="4" spans="1:14" x14ac:dyDescent="0.25">
      <c r="A4" s="14" t="s">
        <v>1</v>
      </c>
      <c r="F4" s="7"/>
      <c r="G4" s="7"/>
      <c r="I4" s="15" t="s">
        <v>46</v>
      </c>
      <c r="J4" s="65">
        <v>1153202676</v>
      </c>
      <c r="K4" s="65"/>
      <c r="L4" s="65"/>
      <c r="M4" s="65"/>
      <c r="N4" s="66"/>
    </row>
    <row r="5" spans="1:14" x14ac:dyDescent="0.25">
      <c r="A5" s="14" t="s">
        <v>45</v>
      </c>
      <c r="B5" s="26"/>
      <c r="F5" s="7"/>
      <c r="G5" s="7"/>
      <c r="I5" s="15" t="s">
        <v>47</v>
      </c>
      <c r="J5" s="24" t="s">
        <v>52</v>
      </c>
      <c r="N5" s="12"/>
    </row>
    <row r="6" spans="1:14" x14ac:dyDescent="0.25">
      <c r="A6" s="14"/>
      <c r="F6" s="7"/>
      <c r="G6" s="7"/>
      <c r="H6" s="7"/>
      <c r="I6" s="7"/>
      <c r="N6" s="12"/>
    </row>
    <row r="7" spans="1:14" x14ac:dyDescent="0.25">
      <c r="A7" s="14"/>
      <c r="B7" s="29" t="s">
        <v>56</v>
      </c>
      <c r="C7" s="50">
        <v>1302201.98</v>
      </c>
      <c r="D7" s="53"/>
      <c r="F7" s="7"/>
      <c r="G7" s="7"/>
      <c r="H7" s="7"/>
      <c r="I7" s="7"/>
      <c r="N7" s="12"/>
    </row>
    <row r="8" spans="1:14" x14ac:dyDescent="0.25">
      <c r="A8" s="14"/>
      <c r="B8" s="29" t="s">
        <v>57</v>
      </c>
      <c r="C8" s="29">
        <v>700000</v>
      </c>
      <c r="D8" s="29"/>
      <c r="F8" s="7"/>
      <c r="G8" s="7"/>
      <c r="H8" s="7"/>
      <c r="I8" s="7"/>
      <c r="N8" s="12"/>
    </row>
    <row r="9" spans="1:14" x14ac:dyDescent="0.25">
      <c r="A9" s="19"/>
      <c r="B9" s="20"/>
      <c r="C9" s="20"/>
      <c r="D9" s="20"/>
      <c r="E9" s="21"/>
      <c r="F9" s="22"/>
      <c r="G9" s="22"/>
      <c r="H9" s="22"/>
      <c r="I9" s="28"/>
      <c r="J9" s="21"/>
      <c r="K9" s="21"/>
      <c r="L9" s="21"/>
      <c r="M9" s="21"/>
      <c r="N9" s="23"/>
    </row>
    <row r="10" spans="1:14" ht="29.25" customHeight="1" x14ac:dyDescent="0.25">
      <c r="A10" s="16" t="s">
        <v>2</v>
      </c>
      <c r="B10" s="17" t="s">
        <v>6</v>
      </c>
      <c r="C10" s="54" t="s">
        <v>3</v>
      </c>
      <c r="D10" s="54" t="s">
        <v>66</v>
      </c>
      <c r="E10" s="18" t="s">
        <v>58</v>
      </c>
      <c r="F10" s="18" t="s">
        <v>50</v>
      </c>
      <c r="G10" s="18" t="s">
        <v>44</v>
      </c>
      <c r="H10" s="18" t="s">
        <v>65</v>
      </c>
      <c r="I10" s="18"/>
      <c r="J10" s="17" t="s">
        <v>70</v>
      </c>
      <c r="K10" s="17" t="s">
        <v>53</v>
      </c>
      <c r="L10" s="17" t="s">
        <v>49</v>
      </c>
      <c r="M10" s="17" t="s">
        <v>54</v>
      </c>
      <c r="N10" s="17" t="s">
        <v>51</v>
      </c>
    </row>
    <row r="11" spans="1:14" x14ac:dyDescent="0.25">
      <c r="A11" s="11">
        <v>1</v>
      </c>
      <c r="B11" s="11" t="s">
        <v>11</v>
      </c>
      <c r="C11" s="55" t="s">
        <v>4</v>
      </c>
      <c r="D11" s="55"/>
      <c r="E11" s="2">
        <v>4.9000000000000004</v>
      </c>
      <c r="F11" s="5">
        <v>64095.377079999998</v>
      </c>
      <c r="G11" s="62">
        <f>F11</f>
        <v>64095.377079999998</v>
      </c>
      <c r="H11" s="8">
        <f>F11-G11</f>
        <v>0</v>
      </c>
      <c r="I11" s="8"/>
      <c r="J11" s="9">
        <f>H11*8.8%</f>
        <v>0</v>
      </c>
      <c r="K11" s="44">
        <f>H11+J11</f>
        <v>0</v>
      </c>
      <c r="L11" s="5">
        <f>C7*E11/100</f>
        <v>63807.897020000004</v>
      </c>
      <c r="M11" s="5">
        <f>C8*E11/100</f>
        <v>34300.000000000007</v>
      </c>
      <c r="N11" s="44">
        <f>K11+L11+M11</f>
        <v>98107.897020000004</v>
      </c>
    </row>
    <row r="12" spans="1:14" x14ac:dyDescent="0.25">
      <c r="A12" s="11">
        <v>2</v>
      </c>
      <c r="B12" s="11" t="s">
        <v>12</v>
      </c>
      <c r="C12" s="55" t="s">
        <v>5</v>
      </c>
      <c r="D12" s="55" t="s">
        <v>74</v>
      </c>
      <c r="E12" s="1">
        <v>3.89</v>
      </c>
      <c r="F12" s="5">
        <v>423370.11607702024</v>
      </c>
      <c r="G12" s="62"/>
      <c r="H12" s="8">
        <f t="shared" ref="H12:H34" si="0">F12-G12</f>
        <v>423370.11607702024</v>
      </c>
      <c r="I12" s="5">
        <v>0</v>
      </c>
      <c r="J12" s="9">
        <f t="shared" ref="J12:J34" si="1">H12*8.8%</f>
        <v>37256.570214777785</v>
      </c>
      <c r="K12" s="44">
        <f>H12+I12+J12</f>
        <v>460626.68629179802</v>
      </c>
      <c r="L12" s="5">
        <f>C7*E12/100</f>
        <v>50655.657021999999</v>
      </c>
      <c r="M12" s="5">
        <f>C8*E12/100</f>
        <v>27230</v>
      </c>
      <c r="N12" s="44">
        <f>K12+L12+M12</f>
        <v>538512.34331379808</v>
      </c>
    </row>
    <row r="13" spans="1:14" x14ac:dyDescent="0.25">
      <c r="A13" s="11">
        <v>3</v>
      </c>
      <c r="B13" s="11" t="s">
        <v>14</v>
      </c>
      <c r="C13" s="55" t="s">
        <v>7</v>
      </c>
      <c r="D13" s="55" t="s">
        <v>80</v>
      </c>
      <c r="E13" s="3">
        <v>4</v>
      </c>
      <c r="F13" s="5">
        <v>58437.839409563472</v>
      </c>
      <c r="G13" s="62">
        <f>F13</f>
        <v>58437.839409563472</v>
      </c>
      <c r="H13" s="8">
        <f t="shared" si="0"/>
        <v>0</v>
      </c>
      <c r="I13" s="5">
        <v>0</v>
      </c>
      <c r="J13" s="9">
        <f t="shared" si="1"/>
        <v>0</v>
      </c>
      <c r="K13" s="44">
        <f>H13+I13+J13</f>
        <v>0</v>
      </c>
      <c r="L13" s="5">
        <f>C7*E13/100</f>
        <v>52088.0792</v>
      </c>
      <c r="M13" s="5">
        <f>C8*E13/100</f>
        <v>28000</v>
      </c>
      <c r="N13" s="44">
        <f>K13+L13+M13</f>
        <v>80088.079200000007</v>
      </c>
    </row>
    <row r="14" spans="1:14" x14ac:dyDescent="0.25">
      <c r="A14" s="11">
        <v>4</v>
      </c>
      <c r="B14" s="11" t="s">
        <v>13</v>
      </c>
      <c r="C14" s="55" t="s">
        <v>26</v>
      </c>
      <c r="D14" s="55" t="s">
        <v>67</v>
      </c>
      <c r="E14" s="3">
        <v>4.9000000000000004</v>
      </c>
      <c r="F14" s="5">
        <v>64095.377079999998</v>
      </c>
      <c r="G14" s="62">
        <f t="shared" ref="G14" si="2">F14</f>
        <v>64095.377079999998</v>
      </c>
      <c r="H14" s="8">
        <f t="shared" si="0"/>
        <v>0</v>
      </c>
      <c r="I14" s="8">
        <v>0</v>
      </c>
      <c r="J14" s="9">
        <f t="shared" si="1"/>
        <v>0</v>
      </c>
      <c r="K14" s="44">
        <f>H14+J14+I14</f>
        <v>0</v>
      </c>
      <c r="L14" s="5">
        <f>C7*E14/100</f>
        <v>63807.897020000004</v>
      </c>
      <c r="M14" s="5">
        <f>C8*E14/100</f>
        <v>34300.000000000007</v>
      </c>
      <c r="N14" s="44">
        <f t="shared" ref="N14:N24" si="3">K14+L14+M14</f>
        <v>98107.897020000004</v>
      </c>
    </row>
    <row r="15" spans="1:14" x14ac:dyDescent="0.25">
      <c r="A15" s="11">
        <v>5</v>
      </c>
      <c r="B15" s="11" t="s">
        <v>15</v>
      </c>
      <c r="C15" s="55" t="s">
        <v>8</v>
      </c>
      <c r="D15" s="55" t="s">
        <v>73</v>
      </c>
      <c r="E15" s="1">
        <v>3.89</v>
      </c>
      <c r="F15" s="5">
        <v>50883.880987999997</v>
      </c>
      <c r="G15" s="62">
        <f t="shared" ref="G15:G21" si="4">F15</f>
        <v>50883.880987999997</v>
      </c>
      <c r="H15" s="8">
        <f t="shared" si="0"/>
        <v>0</v>
      </c>
      <c r="I15" s="8">
        <v>0</v>
      </c>
      <c r="J15" s="9">
        <f t="shared" si="1"/>
        <v>0</v>
      </c>
      <c r="K15" s="44">
        <f>H15+J15+I15</f>
        <v>0</v>
      </c>
      <c r="L15" s="5">
        <f>C7*E15/100</f>
        <v>50655.657021999999</v>
      </c>
      <c r="M15" s="5">
        <f>C8*E15/100</f>
        <v>27230</v>
      </c>
      <c r="N15" s="44">
        <f>K15+L15+M15</f>
        <v>77885.657021999999</v>
      </c>
    </row>
    <row r="16" spans="1:14" x14ac:dyDescent="0.25">
      <c r="A16" s="11">
        <v>6</v>
      </c>
      <c r="B16" s="11" t="s">
        <v>16</v>
      </c>
      <c r="C16" s="55" t="s">
        <v>9</v>
      </c>
      <c r="D16" s="55" t="s">
        <v>78</v>
      </c>
      <c r="E16" s="3">
        <v>4</v>
      </c>
      <c r="F16" s="5">
        <v>52322.756799999996</v>
      </c>
      <c r="G16" s="62"/>
      <c r="H16" s="8">
        <f t="shared" si="0"/>
        <v>52322.756799999996</v>
      </c>
      <c r="I16" s="5">
        <v>0</v>
      </c>
      <c r="J16" s="9">
        <f t="shared" si="1"/>
        <v>4604.4025984</v>
      </c>
      <c r="K16" s="44">
        <f>H16+J16+I16</f>
        <v>56927.159398399992</v>
      </c>
      <c r="L16" s="5">
        <f>C7*E16/100</f>
        <v>52088.0792</v>
      </c>
      <c r="M16" s="5">
        <f>C8*E16/100</f>
        <v>28000</v>
      </c>
      <c r="N16" s="44">
        <f t="shared" si="3"/>
        <v>137015.2385984</v>
      </c>
    </row>
    <row r="17" spans="1:14" x14ac:dyDescent="0.25">
      <c r="A17" s="11">
        <v>7</v>
      </c>
      <c r="B17" s="11" t="s">
        <v>17</v>
      </c>
      <c r="C17" s="55" t="s">
        <v>10</v>
      </c>
      <c r="D17" s="55" t="s">
        <v>68</v>
      </c>
      <c r="E17" s="3">
        <v>4.9000000000000004</v>
      </c>
      <c r="F17" s="5">
        <v>64095.377079999998</v>
      </c>
      <c r="G17" s="62">
        <f t="shared" si="4"/>
        <v>64095.377079999998</v>
      </c>
      <c r="H17" s="8">
        <f t="shared" si="0"/>
        <v>0</v>
      </c>
      <c r="I17" s="5">
        <v>0</v>
      </c>
      <c r="J17" s="9">
        <f t="shared" si="1"/>
        <v>0</v>
      </c>
      <c r="K17" s="44">
        <f>H17+I17+J17</f>
        <v>0</v>
      </c>
      <c r="L17" s="5">
        <f>C7*E17/100</f>
        <v>63807.897020000004</v>
      </c>
      <c r="M17" s="5">
        <f>C8*E17/100</f>
        <v>34300.000000000007</v>
      </c>
      <c r="N17" s="44">
        <f>K17+L17+M17</f>
        <v>98107.897020000004</v>
      </c>
    </row>
    <row r="18" spans="1:14" x14ac:dyDescent="0.25">
      <c r="A18" s="11">
        <v>8</v>
      </c>
      <c r="B18" s="11" t="s">
        <v>18</v>
      </c>
      <c r="C18" s="55" t="s">
        <v>19</v>
      </c>
      <c r="D18" s="55"/>
      <c r="E18" s="1">
        <v>3.89</v>
      </c>
      <c r="F18" s="5">
        <v>50883.880987999997</v>
      </c>
      <c r="G18" s="62">
        <f t="shared" si="4"/>
        <v>50883.880987999997</v>
      </c>
      <c r="H18" s="8">
        <f t="shared" si="0"/>
        <v>0</v>
      </c>
      <c r="I18" s="5">
        <v>0</v>
      </c>
      <c r="J18" s="9">
        <f t="shared" si="1"/>
        <v>0</v>
      </c>
      <c r="K18" s="44">
        <f>H18+J18+I18</f>
        <v>0</v>
      </c>
      <c r="L18" s="5">
        <f>C7*E18/100</f>
        <v>50655.657021999999</v>
      </c>
      <c r="M18" s="5">
        <f>C8*E18/100</f>
        <v>27230</v>
      </c>
      <c r="N18" s="44">
        <f t="shared" si="3"/>
        <v>77885.657021999999</v>
      </c>
    </row>
    <row r="19" spans="1:14" x14ac:dyDescent="0.25">
      <c r="A19" s="11">
        <v>9</v>
      </c>
      <c r="B19" s="11" t="s">
        <v>20</v>
      </c>
      <c r="C19" s="55" t="s">
        <v>21</v>
      </c>
      <c r="D19" s="55" t="s">
        <v>76</v>
      </c>
      <c r="E19" s="3">
        <v>4</v>
      </c>
      <c r="F19" s="5">
        <v>52322.756799999996</v>
      </c>
      <c r="G19" s="62">
        <f>F19</f>
        <v>52322.756799999996</v>
      </c>
      <c r="H19" s="8">
        <f t="shared" si="0"/>
        <v>0</v>
      </c>
      <c r="I19" s="5">
        <v>0</v>
      </c>
      <c r="J19" s="9">
        <f t="shared" si="1"/>
        <v>0</v>
      </c>
      <c r="K19" s="44">
        <f t="shared" ref="K19" si="5">H19+J19</f>
        <v>0</v>
      </c>
      <c r="L19" s="5">
        <f>C7*E19/100</f>
        <v>52088.0792</v>
      </c>
      <c r="M19" s="5">
        <f>C8*E19/100</f>
        <v>28000</v>
      </c>
      <c r="N19" s="44">
        <f t="shared" si="3"/>
        <v>80088.079200000007</v>
      </c>
    </row>
    <row r="20" spans="1:14" x14ac:dyDescent="0.25">
      <c r="A20" s="11">
        <v>10</v>
      </c>
      <c r="B20" s="11" t="s">
        <v>22</v>
      </c>
      <c r="C20" s="55" t="s">
        <v>77</v>
      </c>
      <c r="D20" s="55"/>
      <c r="E20" s="1">
        <v>12.66</v>
      </c>
      <c r="F20" s="5">
        <v>165601.525272</v>
      </c>
      <c r="G20" s="62">
        <f>F20+237000</f>
        <v>402601.525272</v>
      </c>
      <c r="H20" s="8">
        <f t="shared" si="0"/>
        <v>-237000</v>
      </c>
      <c r="I20" s="5">
        <v>0</v>
      </c>
      <c r="J20" s="9">
        <f t="shared" si="1"/>
        <v>-20856.000000000004</v>
      </c>
      <c r="K20" s="44">
        <f>H20+J20+I20</f>
        <v>-257856</v>
      </c>
      <c r="L20" s="5">
        <f>C7*E20/100</f>
        <v>164858.77066800001</v>
      </c>
      <c r="M20" s="5">
        <f>C8*E20/100</f>
        <v>88620</v>
      </c>
      <c r="N20" s="44">
        <f>K20+L20+M20</f>
        <v>-4377.2293319999881</v>
      </c>
    </row>
    <row r="21" spans="1:14" x14ac:dyDescent="0.25">
      <c r="A21" s="11">
        <v>11</v>
      </c>
      <c r="B21" s="11" t="s">
        <v>23</v>
      </c>
      <c r="C21" s="55" t="s">
        <v>26</v>
      </c>
      <c r="D21" s="55" t="s">
        <v>72</v>
      </c>
      <c r="E21" s="1">
        <v>7.75</v>
      </c>
      <c r="F21" s="5">
        <v>101375.34129999999</v>
      </c>
      <c r="G21" s="63">
        <f t="shared" si="4"/>
        <v>101375.34129999999</v>
      </c>
      <c r="H21" s="8">
        <f t="shared" si="0"/>
        <v>0</v>
      </c>
      <c r="I21" s="5">
        <v>0</v>
      </c>
      <c r="J21" s="9">
        <f t="shared" si="1"/>
        <v>0</v>
      </c>
      <c r="K21" s="44">
        <f>H21+J21+I21</f>
        <v>0</v>
      </c>
      <c r="L21" s="5">
        <f>C7*E21/100</f>
        <v>100920.65345000001</v>
      </c>
      <c r="M21" s="5">
        <f>C8*E21/100</f>
        <v>54250</v>
      </c>
      <c r="N21" s="44">
        <f t="shared" si="3"/>
        <v>155170.65345000001</v>
      </c>
    </row>
    <row r="22" spans="1:14" x14ac:dyDescent="0.25">
      <c r="A22" s="11">
        <v>12</v>
      </c>
      <c r="B22" s="11" t="s">
        <v>24</v>
      </c>
      <c r="C22" s="55" t="s">
        <v>79</v>
      </c>
      <c r="D22" s="55" t="s">
        <v>82</v>
      </c>
      <c r="E22" s="1">
        <v>7.51</v>
      </c>
      <c r="F22" s="5">
        <v>174866.77987817599</v>
      </c>
      <c r="G22" s="62">
        <f>F22</f>
        <v>174866.77987817599</v>
      </c>
      <c r="H22" s="8">
        <f t="shared" si="0"/>
        <v>0</v>
      </c>
      <c r="I22" s="5">
        <v>0</v>
      </c>
      <c r="J22" s="9">
        <f t="shared" si="1"/>
        <v>0</v>
      </c>
      <c r="K22" s="44">
        <f t="shared" ref="K22:K24" si="6">H22+J22+I22</f>
        <v>0</v>
      </c>
      <c r="L22" s="5">
        <f>C7*E22/100</f>
        <v>97795.368697999991</v>
      </c>
      <c r="M22" s="5">
        <f>C8*E22/100</f>
        <v>52570</v>
      </c>
      <c r="N22" s="44">
        <f t="shared" si="3"/>
        <v>150365.36869799998</v>
      </c>
    </row>
    <row r="23" spans="1:14" x14ac:dyDescent="0.25">
      <c r="A23" s="11">
        <v>13</v>
      </c>
      <c r="B23" s="11" t="s">
        <v>28</v>
      </c>
      <c r="C23" s="55" t="s">
        <v>30</v>
      </c>
      <c r="D23" s="55"/>
      <c r="E23" s="1">
        <v>4.45</v>
      </c>
      <c r="F23" s="5">
        <v>103616.13454832</v>
      </c>
      <c r="G23" s="62"/>
      <c r="H23" s="8">
        <f t="shared" si="0"/>
        <v>103616.13454832</v>
      </c>
      <c r="I23" s="5">
        <v>0</v>
      </c>
      <c r="J23" s="9">
        <f t="shared" si="1"/>
        <v>9118.2198402521608</v>
      </c>
      <c r="K23" s="44">
        <f>H23+J23+I23</f>
        <v>112734.35438857216</v>
      </c>
      <c r="L23" s="5">
        <f>C7*E23/100</f>
        <v>57947.988109999998</v>
      </c>
      <c r="M23" s="5">
        <f>C8*E23/100</f>
        <v>31150</v>
      </c>
      <c r="N23" s="44">
        <f>K23+L23+M23</f>
        <v>201832.34249857216</v>
      </c>
    </row>
    <row r="24" spans="1:14" x14ac:dyDescent="0.25">
      <c r="A24" s="11">
        <v>14</v>
      </c>
      <c r="B24" s="11" t="s">
        <v>29</v>
      </c>
      <c r="C24" s="55" t="s">
        <v>31</v>
      </c>
      <c r="D24" s="55"/>
      <c r="E24" s="1">
        <v>6.17</v>
      </c>
      <c r="F24" s="5">
        <v>80707.852363999991</v>
      </c>
      <c r="G24" s="62">
        <f>F24</f>
        <v>80707.852363999991</v>
      </c>
      <c r="H24" s="8">
        <f t="shared" si="0"/>
        <v>0</v>
      </c>
      <c r="I24" s="5">
        <v>0</v>
      </c>
      <c r="J24" s="9">
        <f t="shared" si="1"/>
        <v>0</v>
      </c>
      <c r="K24" s="44">
        <f t="shared" si="6"/>
        <v>0</v>
      </c>
      <c r="L24" s="5">
        <f>C7*E24/100</f>
        <v>80345.862166000006</v>
      </c>
      <c r="M24" s="5">
        <f>C8*E24/100</f>
        <v>43190</v>
      </c>
      <c r="N24" s="44">
        <f t="shared" si="3"/>
        <v>123535.86216600001</v>
      </c>
    </row>
    <row r="25" spans="1:14" x14ac:dyDescent="0.25">
      <c r="A25" s="11">
        <v>15</v>
      </c>
      <c r="B25" s="11" t="s">
        <v>32</v>
      </c>
      <c r="C25" s="55" t="s">
        <v>5</v>
      </c>
      <c r="D25" s="55" t="s">
        <v>75</v>
      </c>
      <c r="E25" s="1">
        <v>4.45</v>
      </c>
      <c r="F25" s="5">
        <v>155397.25435222301</v>
      </c>
      <c r="G25" s="62"/>
      <c r="H25" s="8">
        <f t="shared" si="0"/>
        <v>155397.25435222301</v>
      </c>
      <c r="I25" s="5">
        <v>0</v>
      </c>
      <c r="J25" s="9">
        <f t="shared" si="1"/>
        <v>13674.958382995626</v>
      </c>
      <c r="K25" s="44">
        <f>H25+J25+I25</f>
        <v>169072.21273521864</v>
      </c>
      <c r="L25" s="5">
        <f>C7*E25/100+1</f>
        <v>57948.988109999998</v>
      </c>
      <c r="M25" s="5">
        <f>C8*E25/100</f>
        <v>31150</v>
      </c>
      <c r="N25" s="44">
        <f>K25+L25+M25</f>
        <v>258171.20084521864</v>
      </c>
    </row>
    <row r="26" spans="1:14" x14ac:dyDescent="0.25">
      <c r="A26" s="11">
        <v>16</v>
      </c>
      <c r="B26" s="11" t="s">
        <v>33</v>
      </c>
      <c r="C26" s="55" t="s">
        <v>25</v>
      </c>
      <c r="D26" s="55" t="s">
        <v>69</v>
      </c>
      <c r="E26" s="1">
        <v>9.19</v>
      </c>
      <c r="F26" s="5">
        <v>486959.29469553451</v>
      </c>
      <c r="G26" s="62"/>
      <c r="H26" s="8">
        <f t="shared" si="0"/>
        <v>486959.29469553451</v>
      </c>
      <c r="I26" s="5">
        <v>0</v>
      </c>
      <c r="J26" s="9">
        <f t="shared" si="1"/>
        <v>42852.417933207042</v>
      </c>
      <c r="K26" s="44">
        <f>H26+J26+I26</f>
        <v>529811.71262874152</v>
      </c>
      <c r="L26" s="5">
        <f>C7*E26/100+1</f>
        <v>119673.36196199998</v>
      </c>
      <c r="M26" s="5">
        <f>C8*E26/100</f>
        <v>64330</v>
      </c>
      <c r="N26" s="44">
        <f>K26+L26+M26</f>
        <v>713815.07459074154</v>
      </c>
    </row>
    <row r="27" spans="1:14" x14ac:dyDescent="0.25">
      <c r="A27" s="11">
        <v>17</v>
      </c>
      <c r="B27" s="11" t="s">
        <v>34</v>
      </c>
      <c r="C27" s="55" t="s">
        <v>26</v>
      </c>
      <c r="D27" s="55" t="s">
        <v>72</v>
      </c>
      <c r="E27" s="1">
        <v>1.18</v>
      </c>
      <c r="F27" s="5">
        <v>15436.213255999999</v>
      </c>
      <c r="G27" s="62">
        <f>F27</f>
        <v>15436.213255999999</v>
      </c>
      <c r="H27" s="8">
        <f t="shared" si="0"/>
        <v>0</v>
      </c>
      <c r="I27" s="5">
        <v>0</v>
      </c>
      <c r="J27" s="9">
        <f t="shared" si="1"/>
        <v>0</v>
      </c>
      <c r="K27" s="44">
        <f t="shared" ref="K27:K34" si="7">H27+J27+I27</f>
        <v>0</v>
      </c>
      <c r="L27" s="5">
        <f>C7*E27/100+1</f>
        <v>15366.983364</v>
      </c>
      <c r="M27" s="5">
        <f>C8*E27/100</f>
        <v>8260</v>
      </c>
      <c r="N27" s="44">
        <f>K27+L27+M27</f>
        <v>23626.983364</v>
      </c>
    </row>
    <row r="28" spans="1:14" x14ac:dyDescent="0.25">
      <c r="A28" s="11">
        <v>18</v>
      </c>
      <c r="B28" s="11" t="s">
        <v>35</v>
      </c>
      <c r="C28" s="55" t="s">
        <v>43</v>
      </c>
      <c r="D28" s="55"/>
      <c r="E28" s="1">
        <v>1.18</v>
      </c>
      <c r="F28" s="5">
        <v>15436.213255999999</v>
      </c>
      <c r="G28" s="62"/>
      <c r="H28" s="8">
        <f t="shared" si="0"/>
        <v>15436.213255999999</v>
      </c>
      <c r="I28" s="5">
        <v>0</v>
      </c>
      <c r="J28" s="9">
        <f t="shared" si="1"/>
        <v>1358.386766528</v>
      </c>
      <c r="K28" s="44">
        <f t="shared" si="7"/>
        <v>16794.600022528</v>
      </c>
      <c r="L28" s="5">
        <f>C7*E28/100+1</f>
        <v>15366.983364</v>
      </c>
      <c r="M28" s="5">
        <f>C8*E28/100</f>
        <v>8260</v>
      </c>
      <c r="N28" s="44">
        <f t="shared" ref="N28:N34" si="8">K28+L28+M28</f>
        <v>40421.583386528</v>
      </c>
    </row>
    <row r="29" spans="1:14" x14ac:dyDescent="0.25">
      <c r="A29" s="11">
        <v>19</v>
      </c>
      <c r="B29" s="11" t="s">
        <v>36</v>
      </c>
      <c r="C29" s="55" t="s">
        <v>43</v>
      </c>
      <c r="D29" s="55"/>
      <c r="E29" s="1">
        <v>1.18</v>
      </c>
      <c r="F29" s="5">
        <v>15436.213255999999</v>
      </c>
      <c r="G29" s="62"/>
      <c r="H29" s="8">
        <f t="shared" si="0"/>
        <v>15436.213255999999</v>
      </c>
      <c r="I29" s="5">
        <v>0</v>
      </c>
      <c r="J29" s="9">
        <f t="shared" si="1"/>
        <v>1358.386766528</v>
      </c>
      <c r="K29" s="44">
        <f t="shared" si="7"/>
        <v>16794.600022528</v>
      </c>
      <c r="L29" s="5">
        <f>C7*E29/100+1</f>
        <v>15366.983364</v>
      </c>
      <c r="M29" s="5">
        <f>C8*E29/100</f>
        <v>8260</v>
      </c>
      <c r="N29" s="44">
        <f t="shared" si="8"/>
        <v>40421.583386528</v>
      </c>
    </row>
    <row r="30" spans="1:14" x14ac:dyDescent="0.25">
      <c r="A30" s="11">
        <v>20</v>
      </c>
      <c r="B30" s="11" t="s">
        <v>37</v>
      </c>
      <c r="C30" s="55" t="s">
        <v>7</v>
      </c>
      <c r="D30" s="55"/>
      <c r="E30" s="1">
        <v>1.18</v>
      </c>
      <c r="F30" s="5">
        <v>62071.494580752566</v>
      </c>
      <c r="G30" s="62">
        <v>11068</v>
      </c>
      <c r="H30" s="60">
        <f t="shared" si="0"/>
        <v>51003.494580752566</v>
      </c>
      <c r="I30" s="5">
        <v>0</v>
      </c>
      <c r="J30" s="9">
        <f t="shared" si="1"/>
        <v>4488.3075231062267</v>
      </c>
      <c r="K30" s="44">
        <f t="shared" si="7"/>
        <v>55491.80210385879</v>
      </c>
      <c r="L30" s="5">
        <f>C7*E30/100+1</f>
        <v>15366.983364</v>
      </c>
      <c r="M30" s="5">
        <f>C8*E30/100</f>
        <v>8260</v>
      </c>
      <c r="N30" s="44">
        <f>K30+L30+M30</f>
        <v>79118.78546785879</v>
      </c>
    </row>
    <row r="31" spans="1:14" x14ac:dyDescent="0.25">
      <c r="A31" s="11">
        <v>21</v>
      </c>
      <c r="B31" s="11" t="s">
        <v>38</v>
      </c>
      <c r="C31" s="55" t="s">
        <v>77</v>
      </c>
      <c r="D31" s="55"/>
      <c r="E31" s="1">
        <v>1.18</v>
      </c>
      <c r="F31" s="5">
        <v>15436.213255999999</v>
      </c>
      <c r="G31" s="62">
        <f t="shared" ref="G31:G33" si="9">F31</f>
        <v>15436.213255999999</v>
      </c>
      <c r="H31" s="8">
        <f t="shared" si="0"/>
        <v>0</v>
      </c>
      <c r="I31" s="5">
        <v>0</v>
      </c>
      <c r="J31" s="9">
        <f t="shared" si="1"/>
        <v>0</v>
      </c>
      <c r="K31" s="44">
        <f t="shared" si="7"/>
        <v>0</v>
      </c>
      <c r="L31" s="5">
        <f>C7*E31/100+1</f>
        <v>15366.983364</v>
      </c>
      <c r="M31" s="5">
        <f>C8*E31/100</f>
        <v>8260</v>
      </c>
      <c r="N31" s="44">
        <f>K31+L31+M31</f>
        <v>23626.983364</v>
      </c>
    </row>
    <row r="32" spans="1:14" x14ac:dyDescent="0.25">
      <c r="A32" s="11">
        <v>22</v>
      </c>
      <c r="B32" s="11" t="s">
        <v>39</v>
      </c>
      <c r="C32" s="55" t="s">
        <v>21</v>
      </c>
      <c r="D32" s="55"/>
      <c r="E32" s="1">
        <v>1.18</v>
      </c>
      <c r="F32" s="5">
        <v>15436.213255999999</v>
      </c>
      <c r="G32" s="62">
        <f>F32</f>
        <v>15436.213255999999</v>
      </c>
      <c r="H32" s="8">
        <f t="shared" si="0"/>
        <v>0</v>
      </c>
      <c r="I32" s="5">
        <v>0</v>
      </c>
      <c r="J32" s="9">
        <f t="shared" si="1"/>
        <v>0</v>
      </c>
      <c r="K32" s="44">
        <f t="shared" si="7"/>
        <v>0</v>
      </c>
      <c r="L32" s="5">
        <f>C7*E32/100+1</f>
        <v>15366.983364</v>
      </c>
      <c r="M32" s="5">
        <f>C8*E32/100</f>
        <v>8260</v>
      </c>
      <c r="N32" s="44">
        <f t="shared" si="8"/>
        <v>23626.983364</v>
      </c>
    </row>
    <row r="33" spans="1:15" x14ac:dyDescent="0.25">
      <c r="A33" s="11">
        <v>23</v>
      </c>
      <c r="B33" s="11" t="s">
        <v>40</v>
      </c>
      <c r="C33" s="55" t="s">
        <v>48</v>
      </c>
      <c r="D33" s="55"/>
      <c r="E33" s="1">
        <v>1.18</v>
      </c>
      <c r="F33" s="5">
        <v>15436.213255999999</v>
      </c>
      <c r="G33" s="62">
        <f t="shared" si="9"/>
        <v>15436.213255999999</v>
      </c>
      <c r="H33" s="8">
        <f t="shared" si="0"/>
        <v>0</v>
      </c>
      <c r="I33" s="5">
        <v>0</v>
      </c>
      <c r="J33" s="9">
        <f t="shared" si="1"/>
        <v>0</v>
      </c>
      <c r="K33" s="44">
        <f t="shared" si="7"/>
        <v>0</v>
      </c>
      <c r="L33" s="5">
        <f>C7*E33/100+1</f>
        <v>15366.983364</v>
      </c>
      <c r="M33" s="5">
        <f>C8*E33/100</f>
        <v>8260</v>
      </c>
      <c r="N33" s="44">
        <f>K33+L33+M33</f>
        <v>23626.983364</v>
      </c>
      <c r="O33" s="59"/>
    </row>
    <row r="34" spans="1:15" x14ac:dyDescent="0.25">
      <c r="A34" s="11">
        <v>24</v>
      </c>
      <c r="B34" s="11" t="s">
        <v>41</v>
      </c>
      <c r="C34" s="55" t="s">
        <v>79</v>
      </c>
      <c r="D34" s="55" t="s">
        <v>82</v>
      </c>
      <c r="E34" s="1">
        <v>1.18</v>
      </c>
      <c r="F34" s="5">
        <v>27477.827048767998</v>
      </c>
      <c r="G34" s="62">
        <f>F34</f>
        <v>27477.827048767998</v>
      </c>
      <c r="H34" s="8">
        <f t="shared" si="0"/>
        <v>0</v>
      </c>
      <c r="I34" s="5">
        <v>0</v>
      </c>
      <c r="J34" s="9">
        <f t="shared" si="1"/>
        <v>0</v>
      </c>
      <c r="K34" s="44">
        <f t="shared" si="7"/>
        <v>0</v>
      </c>
      <c r="L34" s="5">
        <f>C7*E34/100+1</f>
        <v>15366.983364</v>
      </c>
      <c r="M34" s="5">
        <f>C8*E34/100</f>
        <v>8260</v>
      </c>
      <c r="N34" s="44">
        <f t="shared" si="8"/>
        <v>23626.983364</v>
      </c>
    </row>
    <row r="35" spans="1:15" s="4" customFormat="1" ht="21" x14ac:dyDescent="0.35">
      <c r="A35" s="64" t="s">
        <v>42</v>
      </c>
      <c r="B35" s="64"/>
      <c r="C35" s="64"/>
      <c r="D35" s="52"/>
      <c r="E35" s="45">
        <f>SUM(E11:E34)</f>
        <v>99.990000000000066</v>
      </c>
      <c r="F35" s="46">
        <f>SUM(F11:F34)</f>
        <v>2331198.1458783578</v>
      </c>
      <c r="G35" s="61">
        <f>SUM(G11:G34)</f>
        <v>1264656.6683125077</v>
      </c>
      <c r="H35" s="47">
        <f>SUM(H11:H34)</f>
        <v>1066541.4775658501</v>
      </c>
      <c r="I35" s="47">
        <f>SUM(I12:I34)</f>
        <v>0</v>
      </c>
      <c r="J35" s="48">
        <f>SUM(J11:J34)</f>
        <v>93855.650025794836</v>
      </c>
      <c r="K35" s="48"/>
      <c r="L35" s="47">
        <f>SUM(L11:L34)</f>
        <v>1302081.7598019997</v>
      </c>
      <c r="M35" s="51">
        <f>SUM(M11:M34)</f>
        <v>699930</v>
      </c>
      <c r="N35" s="56">
        <f>SUM(N11:N34)</f>
        <v>3162408.8873936455</v>
      </c>
    </row>
    <row r="36" spans="1:15" x14ac:dyDescent="0.25">
      <c r="F36" s="7"/>
      <c r="G36" s="7"/>
      <c r="H36" s="7"/>
      <c r="I36" s="7"/>
    </row>
    <row r="37" spans="1:15" x14ac:dyDescent="0.25">
      <c r="F37" s="7"/>
      <c r="G37" s="7"/>
      <c r="H37" s="7"/>
      <c r="I37" s="7"/>
    </row>
  </sheetData>
  <mergeCells count="3">
    <mergeCell ref="A35:C35"/>
    <mergeCell ref="J4:N4"/>
    <mergeCell ref="A1:N1"/>
  </mergeCells>
  <hyperlinks>
    <hyperlink ref="J5" r:id="rId1" xr:uid="{00000000-0004-0000-0000-000000000000}"/>
  </hyperlinks>
  <pageMargins left="0.25" right="0.25" top="0.75" bottom="0.75" header="0.3" footer="0.3"/>
  <pageSetup scale="7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9"/>
  <sheetViews>
    <sheetView workbookViewId="0">
      <selection activeCell="G21" sqref="G21"/>
    </sheetView>
  </sheetViews>
  <sheetFormatPr baseColWidth="10" defaultRowHeight="15" x14ac:dyDescent="0.25"/>
  <cols>
    <col min="2" max="2" width="12" bestFit="1" customWidth="1"/>
    <col min="3" max="3" width="28.28515625" bestFit="1" customWidth="1"/>
    <col min="4" max="4" width="7.28515625" bestFit="1" customWidth="1"/>
    <col min="5" max="5" width="7.85546875" hidden="1" customWidth="1"/>
    <col min="6" max="6" width="14.85546875" customWidth="1"/>
    <col min="7" max="7" width="17" bestFit="1" customWidth="1"/>
    <col min="8" max="8" width="16.85546875" customWidth="1"/>
  </cols>
  <sheetData>
    <row r="2" spans="1:8" x14ac:dyDescent="0.25">
      <c r="A2" s="25" t="s">
        <v>60</v>
      </c>
      <c r="B2" s="38">
        <v>0</v>
      </c>
    </row>
    <row r="3" spans="1:8" ht="15.75" thickBot="1" x14ac:dyDescent="0.3">
      <c r="A3" s="25" t="s">
        <v>61</v>
      </c>
      <c r="B3" s="38">
        <v>22550</v>
      </c>
    </row>
    <row r="4" spans="1:8" ht="30.75" thickBot="1" x14ac:dyDescent="0.3">
      <c r="A4" s="33" t="s">
        <v>2</v>
      </c>
      <c r="B4" s="34" t="s">
        <v>6</v>
      </c>
      <c r="C4" s="35" t="s">
        <v>3</v>
      </c>
      <c r="D4" s="36" t="s">
        <v>58</v>
      </c>
      <c r="E4" s="35" t="s">
        <v>59</v>
      </c>
      <c r="F4" s="43" t="s">
        <v>63</v>
      </c>
      <c r="G4" s="37" t="s">
        <v>64</v>
      </c>
      <c r="H4" s="37" t="s">
        <v>62</v>
      </c>
    </row>
    <row r="5" spans="1:8" x14ac:dyDescent="0.25">
      <c r="A5" s="30">
        <v>1</v>
      </c>
      <c r="B5" s="30" t="s">
        <v>11</v>
      </c>
      <c r="C5" s="31" t="s">
        <v>4</v>
      </c>
      <c r="D5" s="32">
        <v>4.9000000000000004</v>
      </c>
      <c r="E5" s="39">
        <f>B2*D5/100</f>
        <v>0</v>
      </c>
      <c r="F5" s="41">
        <v>1104.95</v>
      </c>
      <c r="G5" s="39">
        <f>B3*D5/100</f>
        <v>1104.95</v>
      </c>
      <c r="H5" s="9">
        <f>G5-F5</f>
        <v>0</v>
      </c>
    </row>
    <row r="6" spans="1:8" x14ac:dyDescent="0.25">
      <c r="A6" s="11">
        <v>2</v>
      </c>
      <c r="B6" s="11" t="s">
        <v>12</v>
      </c>
      <c r="C6" s="1" t="s">
        <v>5</v>
      </c>
      <c r="D6" s="1">
        <v>3.89</v>
      </c>
      <c r="E6" s="8">
        <f>B2*D6/100</f>
        <v>0</v>
      </c>
      <c r="F6" s="42">
        <v>877.19500000000005</v>
      </c>
      <c r="G6" s="8">
        <f>B3*D6/100</f>
        <v>877.19500000000005</v>
      </c>
      <c r="H6" s="9">
        <f t="shared" ref="H6:H28" si="0">G6-F6</f>
        <v>0</v>
      </c>
    </row>
    <row r="7" spans="1:8" x14ac:dyDescent="0.25">
      <c r="A7" s="11">
        <v>3</v>
      </c>
      <c r="B7" s="11" t="s">
        <v>14</v>
      </c>
      <c r="C7" s="1" t="s">
        <v>7</v>
      </c>
      <c r="D7" s="3">
        <v>4</v>
      </c>
      <c r="E7" s="8">
        <f>B2*D7/100</f>
        <v>0</v>
      </c>
      <c r="F7" s="42">
        <v>902</v>
      </c>
      <c r="G7" s="8">
        <f>B3*D7/100</f>
        <v>902</v>
      </c>
      <c r="H7" s="9">
        <f t="shared" si="0"/>
        <v>0</v>
      </c>
    </row>
    <row r="8" spans="1:8" x14ac:dyDescent="0.25">
      <c r="A8" s="11">
        <v>4</v>
      </c>
      <c r="B8" s="11" t="s">
        <v>13</v>
      </c>
      <c r="C8" s="1" t="s">
        <v>26</v>
      </c>
      <c r="D8" s="3">
        <v>4.9000000000000004</v>
      </c>
      <c r="E8" s="8">
        <f>B2*D8/100</f>
        <v>0</v>
      </c>
      <c r="F8" s="42">
        <v>4067</v>
      </c>
      <c r="G8" s="8">
        <f>F8</f>
        <v>4067</v>
      </c>
      <c r="H8" s="9">
        <f t="shared" si="0"/>
        <v>0</v>
      </c>
    </row>
    <row r="9" spans="1:8" x14ac:dyDescent="0.25">
      <c r="A9" s="11">
        <v>5</v>
      </c>
      <c r="B9" s="11" t="s">
        <v>15</v>
      </c>
      <c r="C9" s="1" t="s">
        <v>8</v>
      </c>
      <c r="D9" s="1">
        <v>3.89</v>
      </c>
      <c r="E9" s="8">
        <f>B2*D9/100</f>
        <v>0</v>
      </c>
      <c r="F9" s="42">
        <v>877.19500000000005</v>
      </c>
      <c r="G9" s="8">
        <f>B3*D9/100</f>
        <v>877.19500000000005</v>
      </c>
      <c r="H9" s="9">
        <f t="shared" si="0"/>
        <v>0</v>
      </c>
    </row>
    <row r="10" spans="1:8" x14ac:dyDescent="0.25">
      <c r="A10" s="11">
        <v>6</v>
      </c>
      <c r="B10" s="11" t="s">
        <v>16</v>
      </c>
      <c r="C10" s="1" t="s">
        <v>9</v>
      </c>
      <c r="D10" s="3">
        <v>4</v>
      </c>
      <c r="E10" s="8">
        <f>B2*D10/100</f>
        <v>0</v>
      </c>
      <c r="F10" s="42">
        <v>902</v>
      </c>
      <c r="G10" s="8">
        <f>B3*D10/100</f>
        <v>902</v>
      </c>
      <c r="H10" s="9">
        <f t="shared" si="0"/>
        <v>0</v>
      </c>
    </row>
    <row r="11" spans="1:8" x14ac:dyDescent="0.25">
      <c r="A11" s="11">
        <v>7</v>
      </c>
      <c r="B11" s="11" t="s">
        <v>17</v>
      </c>
      <c r="C11" s="1" t="s">
        <v>10</v>
      </c>
      <c r="D11" s="3">
        <v>4.9000000000000004</v>
      </c>
      <c r="E11" s="8">
        <f>B2*D11/100</f>
        <v>0</v>
      </c>
      <c r="F11" s="42">
        <v>2209.9</v>
      </c>
      <c r="G11" s="8">
        <f>F11</f>
        <v>2209.9</v>
      </c>
      <c r="H11" s="9">
        <f t="shared" si="0"/>
        <v>0</v>
      </c>
    </row>
    <row r="12" spans="1:8" x14ac:dyDescent="0.25">
      <c r="A12" s="11">
        <v>8</v>
      </c>
      <c r="B12" s="11" t="s">
        <v>18</v>
      </c>
      <c r="C12" s="1" t="s">
        <v>19</v>
      </c>
      <c r="D12" s="1">
        <v>3.89</v>
      </c>
      <c r="E12" s="8">
        <f>B2*D12/100</f>
        <v>0</v>
      </c>
      <c r="F12" s="42">
        <v>877.19500000000005</v>
      </c>
      <c r="G12" s="8">
        <f>B3*D12/100</f>
        <v>877.19500000000005</v>
      </c>
      <c r="H12" s="9">
        <f t="shared" si="0"/>
        <v>0</v>
      </c>
    </row>
    <row r="13" spans="1:8" x14ac:dyDescent="0.25">
      <c r="A13" s="11">
        <v>9</v>
      </c>
      <c r="B13" s="11" t="s">
        <v>20</v>
      </c>
      <c r="C13" s="49" t="s">
        <v>21</v>
      </c>
      <c r="D13" s="3">
        <v>4</v>
      </c>
      <c r="E13" s="8">
        <f>B2*D13/100</f>
        <v>0</v>
      </c>
      <c r="F13" s="42">
        <v>902</v>
      </c>
      <c r="G13" s="8">
        <f>B3*D13/100</f>
        <v>902</v>
      </c>
      <c r="H13" s="9">
        <f t="shared" si="0"/>
        <v>0</v>
      </c>
    </row>
    <row r="14" spans="1:8" x14ac:dyDescent="0.25">
      <c r="A14" s="11">
        <v>10</v>
      </c>
      <c r="B14" s="11" t="s">
        <v>22</v>
      </c>
      <c r="C14" s="49" t="s">
        <v>25</v>
      </c>
      <c r="D14" s="1">
        <v>12.66</v>
      </c>
      <c r="E14" s="8">
        <f>B2*D14/100</f>
        <v>0</v>
      </c>
      <c r="F14" s="42">
        <v>2854.83</v>
      </c>
      <c r="G14" s="8">
        <v>0</v>
      </c>
      <c r="H14" s="9">
        <f t="shared" si="0"/>
        <v>-2854.83</v>
      </c>
    </row>
    <row r="15" spans="1:8" x14ac:dyDescent="0.25">
      <c r="A15" s="11">
        <v>11</v>
      </c>
      <c r="B15" s="11" t="s">
        <v>23</v>
      </c>
      <c r="C15" s="1" t="s">
        <v>26</v>
      </c>
      <c r="D15" s="1">
        <v>7.75</v>
      </c>
      <c r="E15" s="8">
        <f>B2*D15/100</f>
        <v>0</v>
      </c>
      <c r="F15" s="42">
        <v>6432.52</v>
      </c>
      <c r="G15" s="8">
        <f>F15</f>
        <v>6432.52</v>
      </c>
      <c r="H15" s="9">
        <f t="shared" si="0"/>
        <v>0</v>
      </c>
    </row>
    <row r="16" spans="1:8" x14ac:dyDescent="0.25">
      <c r="A16" s="11">
        <v>12</v>
      </c>
      <c r="B16" s="11" t="s">
        <v>24</v>
      </c>
      <c r="C16" s="1" t="s">
        <v>27</v>
      </c>
      <c r="D16" s="1">
        <v>7.51</v>
      </c>
      <c r="E16" s="8">
        <f>B2*D16/100</f>
        <v>0</v>
      </c>
      <c r="F16" s="42">
        <v>1693.5050000000001</v>
      </c>
      <c r="G16" s="8">
        <f>B3*D16/100</f>
        <v>1693.5050000000001</v>
      </c>
      <c r="H16" s="9">
        <f t="shared" si="0"/>
        <v>0</v>
      </c>
    </row>
    <row r="17" spans="1:8" x14ac:dyDescent="0.25">
      <c r="A17" s="11">
        <v>13</v>
      </c>
      <c r="B17" s="11" t="s">
        <v>28</v>
      </c>
      <c r="C17" s="1" t="s">
        <v>30</v>
      </c>
      <c r="D17" s="1">
        <v>4.45</v>
      </c>
      <c r="E17" s="8">
        <f>B2*D17/100</f>
        <v>0</v>
      </c>
      <c r="F17" s="42">
        <v>6262.48</v>
      </c>
      <c r="G17" s="8">
        <f>F17</f>
        <v>6262.48</v>
      </c>
      <c r="H17" s="9">
        <f t="shared" si="0"/>
        <v>0</v>
      </c>
    </row>
    <row r="18" spans="1:8" x14ac:dyDescent="0.25">
      <c r="A18" s="11">
        <v>14</v>
      </c>
      <c r="B18" s="11" t="s">
        <v>29</v>
      </c>
      <c r="C18" s="1" t="s">
        <v>31</v>
      </c>
      <c r="D18" s="1">
        <v>6.17</v>
      </c>
      <c r="E18" s="8">
        <f>B2*D18/100</f>
        <v>0</v>
      </c>
      <c r="F18" s="42">
        <v>1391.335</v>
      </c>
      <c r="G18" s="8">
        <f t="shared" ref="G18:G28" si="1">F18</f>
        <v>1391.335</v>
      </c>
      <c r="H18" s="9">
        <f t="shared" si="0"/>
        <v>0</v>
      </c>
    </row>
    <row r="19" spans="1:8" x14ac:dyDescent="0.25">
      <c r="A19" s="11">
        <v>15</v>
      </c>
      <c r="B19" s="11" t="s">
        <v>32</v>
      </c>
      <c r="C19" s="1" t="s">
        <v>5</v>
      </c>
      <c r="D19" s="1">
        <v>4.45</v>
      </c>
      <c r="E19" s="8">
        <f>B2*D19/100</f>
        <v>0</v>
      </c>
      <c r="F19" s="42">
        <v>2006.96</v>
      </c>
      <c r="G19" s="8">
        <v>0</v>
      </c>
      <c r="H19" s="9">
        <f t="shared" si="0"/>
        <v>-2006.96</v>
      </c>
    </row>
    <row r="20" spans="1:8" x14ac:dyDescent="0.25">
      <c r="A20" s="11">
        <v>16</v>
      </c>
      <c r="B20" s="11" t="s">
        <v>33</v>
      </c>
      <c r="C20" s="49" t="s">
        <v>25</v>
      </c>
      <c r="D20" s="1">
        <v>9.19</v>
      </c>
      <c r="E20" s="8">
        <f>B2*D20/100</f>
        <v>0</v>
      </c>
      <c r="F20" s="42">
        <v>2072.35</v>
      </c>
      <c r="G20" s="8">
        <v>0</v>
      </c>
      <c r="H20" s="9">
        <f t="shared" si="0"/>
        <v>-2072.35</v>
      </c>
    </row>
    <row r="21" spans="1:8" x14ac:dyDescent="0.25">
      <c r="A21" s="11">
        <v>17</v>
      </c>
      <c r="B21" s="11" t="s">
        <v>34</v>
      </c>
      <c r="C21" s="1" t="s">
        <v>26</v>
      </c>
      <c r="D21" s="1">
        <v>1.18</v>
      </c>
      <c r="E21" s="8">
        <f>B2*D21/100</f>
        <v>0</v>
      </c>
      <c r="F21" s="42">
        <v>979.4</v>
      </c>
      <c r="G21" s="8">
        <f>F21</f>
        <v>979.4</v>
      </c>
      <c r="H21" s="9">
        <f t="shared" si="0"/>
        <v>0</v>
      </c>
    </row>
    <row r="22" spans="1:8" x14ac:dyDescent="0.25">
      <c r="A22" s="11">
        <v>18</v>
      </c>
      <c r="B22" s="11" t="s">
        <v>35</v>
      </c>
      <c r="C22" s="1" t="s">
        <v>43</v>
      </c>
      <c r="D22" s="1">
        <v>1.18</v>
      </c>
      <c r="E22" s="8">
        <f>B2*D22/100</f>
        <v>0</v>
      </c>
      <c r="F22" s="42">
        <v>532.17999999999995</v>
      </c>
      <c r="G22" s="8">
        <v>0</v>
      </c>
      <c r="H22" s="9">
        <f t="shared" si="0"/>
        <v>-532.17999999999995</v>
      </c>
    </row>
    <row r="23" spans="1:8" x14ac:dyDescent="0.25">
      <c r="A23" s="11">
        <v>19</v>
      </c>
      <c r="B23" s="11" t="s">
        <v>36</v>
      </c>
      <c r="C23" s="1" t="s">
        <v>43</v>
      </c>
      <c r="D23" s="1">
        <v>1.18</v>
      </c>
      <c r="E23" s="8">
        <f>B2*D23/100</f>
        <v>0</v>
      </c>
      <c r="F23" s="42">
        <v>532.17999999999995</v>
      </c>
      <c r="G23" s="8">
        <v>0</v>
      </c>
      <c r="H23" s="9">
        <f t="shared" si="0"/>
        <v>-532.17999999999995</v>
      </c>
    </row>
    <row r="24" spans="1:8" x14ac:dyDescent="0.25">
      <c r="A24" s="11">
        <v>20</v>
      </c>
      <c r="B24" s="11" t="s">
        <v>37</v>
      </c>
      <c r="C24" s="1" t="s">
        <v>7</v>
      </c>
      <c r="D24" s="1">
        <v>1.18</v>
      </c>
      <c r="E24" s="8">
        <f>B2*D24/100</f>
        <v>0</v>
      </c>
      <c r="F24" s="42">
        <v>266.08999999999997</v>
      </c>
      <c r="G24" s="8">
        <f t="shared" si="1"/>
        <v>266.08999999999997</v>
      </c>
      <c r="H24" s="9">
        <f t="shared" si="0"/>
        <v>0</v>
      </c>
    </row>
    <row r="25" spans="1:8" x14ac:dyDescent="0.25">
      <c r="A25" s="11">
        <v>21</v>
      </c>
      <c r="B25" s="11" t="s">
        <v>38</v>
      </c>
      <c r="C25" s="49" t="s">
        <v>25</v>
      </c>
      <c r="D25" s="1">
        <v>1.18</v>
      </c>
      <c r="E25" s="8">
        <f>B2*D25/100</f>
        <v>0</v>
      </c>
      <c r="F25" s="42">
        <v>266.08999999999997</v>
      </c>
      <c r="G25" s="8">
        <v>0</v>
      </c>
      <c r="H25" s="9">
        <f t="shared" si="0"/>
        <v>-266.08999999999997</v>
      </c>
    </row>
    <row r="26" spans="1:8" x14ac:dyDescent="0.25">
      <c r="A26" s="11">
        <v>22</v>
      </c>
      <c r="B26" s="11" t="s">
        <v>39</v>
      </c>
      <c r="C26" s="1" t="s">
        <v>21</v>
      </c>
      <c r="D26" s="1">
        <v>1.18</v>
      </c>
      <c r="E26" s="8">
        <f>B2*D26/100</f>
        <v>0</v>
      </c>
      <c r="F26" s="42">
        <v>266.08999999999997</v>
      </c>
      <c r="G26" s="8">
        <f t="shared" si="1"/>
        <v>266.08999999999997</v>
      </c>
      <c r="H26" s="9">
        <f t="shared" si="0"/>
        <v>0</v>
      </c>
    </row>
    <row r="27" spans="1:8" x14ac:dyDescent="0.25">
      <c r="A27" s="11">
        <v>23</v>
      </c>
      <c r="B27" s="11" t="s">
        <v>40</v>
      </c>
      <c r="C27" s="1" t="s">
        <v>48</v>
      </c>
      <c r="D27" s="1">
        <v>1.18</v>
      </c>
      <c r="E27" s="8">
        <f>B2*D27/100</f>
        <v>0</v>
      </c>
      <c r="F27" s="42">
        <v>755.79</v>
      </c>
      <c r="G27" s="8">
        <v>0</v>
      </c>
      <c r="H27" s="9">
        <f t="shared" si="0"/>
        <v>-755.79</v>
      </c>
    </row>
    <row r="28" spans="1:8" x14ac:dyDescent="0.25">
      <c r="A28" s="11">
        <v>24</v>
      </c>
      <c r="B28" s="11" t="s">
        <v>41</v>
      </c>
      <c r="C28" s="1" t="s">
        <v>27</v>
      </c>
      <c r="D28" s="1">
        <v>1.18</v>
      </c>
      <c r="E28" s="8">
        <f>B2*D28/100</f>
        <v>0</v>
      </c>
      <c r="F28" s="42">
        <v>266.08999999999997</v>
      </c>
      <c r="G28" s="8">
        <f t="shared" si="1"/>
        <v>266.08999999999997</v>
      </c>
      <c r="H28" s="9">
        <f t="shared" si="0"/>
        <v>0</v>
      </c>
    </row>
    <row r="29" spans="1:8" ht="18.75" x14ac:dyDescent="0.3">
      <c r="A29" s="70" t="s">
        <v>42</v>
      </c>
      <c r="B29" s="70"/>
      <c r="C29" s="70"/>
      <c r="D29" s="27">
        <f>SUM(D5:D28)</f>
        <v>99.990000000000066</v>
      </c>
      <c r="E29" s="40">
        <f>SUM(E5:E28)</f>
        <v>0</v>
      </c>
      <c r="F29" s="40">
        <f>SUM(F5:F28)</f>
        <v>39297.32499999999</v>
      </c>
      <c r="G29" s="40">
        <f>SUM(G5:G28)</f>
        <v>30276.945000000003</v>
      </c>
      <c r="H29" s="40">
        <f>SUM(H5:H28)</f>
        <v>-9020.380000000001</v>
      </c>
    </row>
  </sheetData>
  <mergeCells count="1">
    <mergeCell ref="A29:C29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</vt:lpstr>
      <vt:lpstr>ARBA TSG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2025-02-03T19:10:46Z</cp:lastPrinted>
  <dcterms:created xsi:type="dcterms:W3CDTF">2021-10-25T13:53:39Z</dcterms:created>
  <dcterms:modified xsi:type="dcterms:W3CDTF">2025-05-29T13:48:04Z</dcterms:modified>
</cp:coreProperties>
</file>