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FLORES DE ESTRADA\Octubre\"/>
    </mc:Choice>
  </mc:AlternateContent>
  <xr:revisionPtr revIDLastSave="0" documentId="13_ncr:1_{49E8CB66-FCC6-4D63-B28C-73994C39DDD9}"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2" i="1" l="1"/>
  <c r="G15" i="1"/>
  <c r="G20" i="1" l="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<sst xmlns="http://schemas.openxmlformats.org/spreadsheetml/2006/main" count="161" uniqueCount="68">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</sst>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8" fillId="5" borderId="10"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3" fillId="5" borderId="10" xfId="0"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0" fontId="10" fillId="6" borderId="14" xfId="0" applyFont="1" applyFill="1" applyBorder="1"/>
    <xf numFmtId="164" fontId="4" fillId="9" borderId="10" xfId="0" applyNumberFormat="1" applyFont="1" applyFill="1" applyBorder="1"/>
    <xf numFmtId="2" fontId="4" fillId="6" borderId="10" xfId="0" applyNumberFormat="1" applyFont="1" applyFill="1" applyBorder="1"/>
    <xf numFmtId="0" fontId="8" fillId="6"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8" zoomScale="90" zoomScaleNormal="90" workbookViewId="0">
      <selection activeCell="I17" sqref="I17"/>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bestFit="1" customWidth="1"/>
    <col min="7" max="7" width="8.85546875" bestFit="1" customWidth="1"/>
    <col min="8" max="8" width="7.7109375" bestFit="1" customWidth="1"/>
    <col min="9" max="9" width="10.42578125" bestFit="1" customWidth="1"/>
    <col min="10" max="10" width="13.85546875" bestFit="1" customWidth="1"/>
    <col min="11" max="11" width="15.42578125" bestFit="1" customWidth="1"/>
    <col min="12" max="12" width="12.7109375" bestFit="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2" t="s">
        <v>67</v>
      </c>
      <c r="B1" s="53"/>
      <c r="C1" s="53"/>
      <c r="D1" s="53"/>
      <c r="E1" s="53"/>
      <c r="F1" s="53"/>
      <c r="G1" s="53"/>
      <c r="H1" s="53"/>
      <c r="I1" s="53"/>
      <c r="J1" s="53"/>
      <c r="K1" s="53"/>
      <c r="L1" s="53"/>
      <c r="M1" s="54"/>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0">
        <v>1458515.68</v>
      </c>
      <c r="E8" s="10"/>
      <c r="F8" s="10"/>
      <c r="G8" s="10"/>
      <c r="H8" s="11"/>
      <c r="I8" s="10"/>
      <c r="J8" s="10"/>
      <c r="K8" s="10"/>
      <c r="L8" s="10"/>
      <c r="M8" s="12"/>
      <c r="N8" s="3"/>
      <c r="O8" s="2"/>
      <c r="S8" s="43"/>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1261015</v>
      </c>
      <c r="M9" s="14" t="s">
        <v>19</v>
      </c>
      <c r="N9" s="17"/>
      <c r="O9" s="14" t="s">
        <v>20</v>
      </c>
      <c r="P9" s="14" t="s">
        <v>21</v>
      </c>
    </row>
    <row r="10" spans="1:25" x14ac:dyDescent="0.25">
      <c r="A10" s="18">
        <v>1</v>
      </c>
      <c r="B10" s="18">
        <v>1</v>
      </c>
      <c r="C10" s="18" t="s">
        <v>22</v>
      </c>
      <c r="D10" s="18" t="s">
        <v>23</v>
      </c>
      <c r="E10" s="18">
        <v>4.9000000000000004</v>
      </c>
      <c r="F10" s="18">
        <v>19700.2</v>
      </c>
      <c r="G10" s="51">
        <v>19937.5</v>
      </c>
      <c r="H10" s="19">
        <v>0</v>
      </c>
      <c r="I10" s="20">
        <f t="shared" ref="I10:I33" si="0">H10*7%</f>
        <v>0</v>
      </c>
      <c r="J10" s="20">
        <f>(G10-F10)*93.78</f>
        <v>22253.993999999933</v>
      </c>
      <c r="K10" s="21">
        <f>G10-F10</f>
        <v>237.29999999999927</v>
      </c>
      <c r="L10" s="19">
        <f>L9*E10/100</f>
        <v>61789.735000000001</v>
      </c>
      <c r="M10" s="19">
        <f>J10+L10+3</f>
        <v>84046.728999999934</v>
      </c>
      <c r="N10" s="22">
        <f>J10/C7*100</f>
        <v>28.512484304932649</v>
      </c>
      <c r="O10" s="23">
        <f>J10/L9*100</f>
        <v>1.7647683810263901</v>
      </c>
      <c r="P10" s="20">
        <f>C7*O10/100</f>
        <v>1377.4017213910975</v>
      </c>
      <c r="Q10" s="24">
        <v>0.31</v>
      </c>
      <c r="R10" s="25">
        <f t="shared" ref="R10:R11" si="1">4000*Q10</f>
        <v>1240</v>
      </c>
    </row>
    <row r="11" spans="1:25" x14ac:dyDescent="0.25">
      <c r="A11" s="18">
        <v>2</v>
      </c>
      <c r="B11" s="36">
        <v>2</v>
      </c>
      <c r="C11" s="36" t="s">
        <v>24</v>
      </c>
      <c r="D11" s="36" t="s">
        <v>25</v>
      </c>
      <c r="E11" s="36">
        <v>3.89</v>
      </c>
      <c r="F11" s="36">
        <v>17213.900000000001</v>
      </c>
      <c r="G11" s="66">
        <f>F11+70</f>
        <v>17283.900000000001</v>
      </c>
      <c r="H11" s="37">
        <v>0</v>
      </c>
      <c r="I11" s="38">
        <f t="shared" si="0"/>
        <v>0</v>
      </c>
      <c r="J11" s="38">
        <f>(G11-F11)*93.78</f>
        <v>6564.6</v>
      </c>
      <c r="K11" s="65">
        <f t="shared" ref="K11:K25" si="2">G11-F11</f>
        <v>70</v>
      </c>
      <c r="L11" s="37">
        <f>L9*E11/100</f>
        <v>49053.483500000002</v>
      </c>
      <c r="M11" s="37">
        <f t="shared" ref="M11:M24" si="3">J11+L11+1</f>
        <v>55619.083500000001</v>
      </c>
      <c r="N11" s="22" t="e">
        <f t="shared" ref="N11:N33" si="4">J11/C9*100</f>
        <v>#VALUE!</v>
      </c>
      <c r="O11" s="23">
        <f>L11/L9*100</f>
        <v>3.8900000000000006</v>
      </c>
      <c r="P11" s="20">
        <f>C7*O11/100</f>
        <v>3036.1450000000004</v>
      </c>
      <c r="Q11" s="24">
        <v>0.19</v>
      </c>
      <c r="R11" s="25">
        <f t="shared" si="1"/>
        <v>760</v>
      </c>
      <c r="U11" s="33"/>
    </row>
    <row r="12" spans="1:25" x14ac:dyDescent="0.25">
      <c r="A12" s="39">
        <v>3</v>
      </c>
      <c r="B12" s="39">
        <v>3</v>
      </c>
      <c r="C12" s="39" t="s">
        <v>26</v>
      </c>
      <c r="D12" s="39" t="s">
        <v>27</v>
      </c>
      <c r="E12" s="39">
        <v>4</v>
      </c>
      <c r="F12" s="39">
        <v>11671.3</v>
      </c>
      <c r="G12" s="51">
        <f>F12+85</f>
        <v>11756.3</v>
      </c>
      <c r="H12" s="40">
        <v>0</v>
      </c>
      <c r="I12" s="41">
        <f t="shared" si="0"/>
        <v>0</v>
      </c>
      <c r="J12" s="41">
        <f t="shared" ref="J12:J33" si="5">(G12-F12)*93.78</f>
        <v>7971.3</v>
      </c>
      <c r="K12" s="42">
        <f>G12-F12</f>
        <v>85</v>
      </c>
      <c r="L12" s="40">
        <f>L9*E12/100</f>
        <v>50440.6</v>
      </c>
      <c r="M12" s="40">
        <f t="shared" si="3"/>
        <v>58412.9</v>
      </c>
      <c r="N12" s="22" t="e">
        <f t="shared" si="4"/>
        <v>#VALUE!</v>
      </c>
      <c r="O12" s="23">
        <f>J12/L9*100</f>
        <v>0.6321336383786077</v>
      </c>
      <c r="P12" s="20">
        <f>C7*O12/100</f>
        <v>493.3803047545033</v>
      </c>
    </row>
    <row r="13" spans="1:25" x14ac:dyDescent="0.25">
      <c r="A13" s="18">
        <v>4</v>
      </c>
      <c r="B13" s="39">
        <v>4</v>
      </c>
      <c r="C13" s="39" t="s">
        <v>28</v>
      </c>
      <c r="D13" s="39" t="s">
        <v>29</v>
      </c>
      <c r="E13" s="39">
        <v>4.9000000000000004</v>
      </c>
      <c r="F13" s="39">
        <v>29605.7</v>
      </c>
      <c r="G13" s="51">
        <v>29923.5</v>
      </c>
      <c r="H13" s="26">
        <v>0</v>
      </c>
      <c r="I13" s="41">
        <f t="shared" si="0"/>
        <v>0</v>
      </c>
      <c r="J13" s="41">
        <f t="shared" si="5"/>
        <v>29803.283999999931</v>
      </c>
      <c r="K13" s="42">
        <f t="shared" si="2"/>
        <v>317.79999999999927</v>
      </c>
      <c r="L13" s="40">
        <f>L9*E13/100</f>
        <v>61789.735000000001</v>
      </c>
      <c r="M13" s="40">
        <f t="shared" si="3"/>
        <v>91594.018999999927</v>
      </c>
      <c r="N13" s="22" t="e">
        <f t="shared" si="4"/>
        <v>#VALUE!</v>
      </c>
      <c r="O13" s="23">
        <f>J13/L9*100</f>
        <v>2.3634361209026009</v>
      </c>
      <c r="P13" s="20">
        <f>C7*O13/100</f>
        <v>1844.6618923644801</v>
      </c>
    </row>
    <row r="14" spans="1:25" x14ac:dyDescent="0.25">
      <c r="A14" s="18">
        <v>5</v>
      </c>
      <c r="B14" s="39">
        <v>5</v>
      </c>
      <c r="C14" s="39" t="s">
        <v>30</v>
      </c>
      <c r="D14" s="39" t="s">
        <v>31</v>
      </c>
      <c r="E14" s="39">
        <v>3.89</v>
      </c>
      <c r="F14" s="39">
        <v>7104.9</v>
      </c>
      <c r="G14" s="51">
        <v>7341.7</v>
      </c>
      <c r="H14" s="26">
        <v>0</v>
      </c>
      <c r="I14" s="41">
        <f t="shared" si="0"/>
        <v>0</v>
      </c>
      <c r="J14" s="41">
        <f t="shared" si="5"/>
        <v>22207.104000000018</v>
      </c>
      <c r="K14" s="42">
        <f t="shared" si="2"/>
        <v>236.80000000000018</v>
      </c>
      <c r="L14" s="40">
        <f>L9*E14/100</f>
        <v>49053.483500000002</v>
      </c>
      <c r="M14" s="40">
        <f t="shared" si="3"/>
        <v>71261.587500000023</v>
      </c>
      <c r="N14" s="22" t="e">
        <f t="shared" si="4"/>
        <v>#VALUE!</v>
      </c>
      <c r="O14" s="23">
        <f>J14/L9*100</f>
        <v>1.7610499478594637</v>
      </c>
      <c r="P14" s="20">
        <f>C7*O14/100</f>
        <v>1374.4994843043114</v>
      </c>
      <c r="R14">
        <v>2540.8200000000002</v>
      </c>
    </row>
    <row r="15" spans="1:25" s="48" customFormat="1" x14ac:dyDescent="0.25">
      <c r="A15" s="39">
        <v>6</v>
      </c>
      <c r="B15" s="39">
        <v>6</v>
      </c>
      <c r="C15" s="39" t="s">
        <v>32</v>
      </c>
      <c r="D15" s="39" t="s">
        <v>33</v>
      </c>
      <c r="E15" s="39">
        <v>4</v>
      </c>
      <c r="F15" s="39">
        <v>14166.7</v>
      </c>
      <c r="G15" s="51">
        <f>F15+270</f>
        <v>14436.7</v>
      </c>
      <c r="H15" s="40">
        <v>0</v>
      </c>
      <c r="I15" s="41">
        <f t="shared" si="0"/>
        <v>0</v>
      </c>
      <c r="J15" s="41">
        <f t="shared" si="5"/>
        <v>25320.6</v>
      </c>
      <c r="K15" s="42">
        <f t="shared" si="2"/>
        <v>270</v>
      </c>
      <c r="L15" s="40">
        <f>L9*E15/100</f>
        <v>50440.6</v>
      </c>
      <c r="M15" s="40">
        <f t="shared" si="3"/>
        <v>75762.2</v>
      </c>
      <c r="N15" s="46" t="e">
        <f t="shared" si="4"/>
        <v>#VALUE!</v>
      </c>
      <c r="O15" s="47">
        <f>J15/L9*100</f>
        <v>2.0079539101438124</v>
      </c>
      <c r="P15" s="41">
        <f>C7*O15/100</f>
        <v>1567.2080268672455</v>
      </c>
      <c r="Y15" s="49"/>
    </row>
    <row r="16" spans="1:25" x14ac:dyDescent="0.25">
      <c r="A16" s="18">
        <v>7</v>
      </c>
      <c r="B16" s="18">
        <v>7</v>
      </c>
      <c r="C16" s="18" t="s">
        <v>34</v>
      </c>
      <c r="D16" s="18" t="s">
        <v>35</v>
      </c>
      <c r="E16" s="18">
        <v>4.9000000000000004</v>
      </c>
      <c r="F16" s="18">
        <v>19618.5</v>
      </c>
      <c r="G16" s="59">
        <v>19618.5</v>
      </c>
      <c r="H16" s="19">
        <v>0</v>
      </c>
      <c r="I16" s="20">
        <f t="shared" si="0"/>
        <v>0</v>
      </c>
      <c r="J16" s="20">
        <f t="shared" si="5"/>
        <v>0</v>
      </c>
      <c r="K16" s="21">
        <f t="shared" si="2"/>
        <v>0</v>
      </c>
      <c r="L16" s="19">
        <f>L9*E16/100</f>
        <v>61789.735000000001</v>
      </c>
      <c r="M16" s="19">
        <f t="shared" si="3"/>
        <v>61790.735000000001</v>
      </c>
      <c r="N16" s="22" t="e">
        <f t="shared" si="4"/>
        <v>#VALUE!</v>
      </c>
      <c r="O16" s="23">
        <f>J16/L9*100</f>
        <v>0</v>
      </c>
      <c r="P16" s="20">
        <f>C7*O16/100</f>
        <v>0</v>
      </c>
    </row>
    <row r="17" spans="1:19" x14ac:dyDescent="0.25">
      <c r="A17" s="18">
        <v>8</v>
      </c>
      <c r="B17" s="18">
        <v>8</v>
      </c>
      <c r="C17" s="18" t="s">
        <v>36</v>
      </c>
      <c r="D17" s="18" t="s">
        <v>37</v>
      </c>
      <c r="E17" s="18">
        <v>3.89</v>
      </c>
      <c r="F17" s="18">
        <v>6990.37</v>
      </c>
      <c r="G17" s="59">
        <v>6990.37</v>
      </c>
      <c r="H17" s="26">
        <v>0</v>
      </c>
      <c r="I17" s="20">
        <f t="shared" si="0"/>
        <v>0</v>
      </c>
      <c r="J17" s="20">
        <f t="shared" si="5"/>
        <v>0</v>
      </c>
      <c r="K17" s="21">
        <f t="shared" si="2"/>
        <v>0</v>
      </c>
      <c r="L17" s="19">
        <f>L9*E17/100</f>
        <v>49053.483500000002</v>
      </c>
      <c r="M17" s="19">
        <f t="shared" si="3"/>
        <v>49054.483500000002</v>
      </c>
      <c r="N17" s="22" t="e">
        <f t="shared" si="4"/>
        <v>#VALUE!</v>
      </c>
      <c r="O17" s="23">
        <f>J17/L9*100</f>
        <v>0</v>
      </c>
      <c r="P17" s="20">
        <f>C7*O17/100</f>
        <v>0</v>
      </c>
    </row>
    <row r="18" spans="1:19" x14ac:dyDescent="0.25">
      <c r="A18" s="18">
        <v>9</v>
      </c>
      <c r="B18" s="39">
        <v>9</v>
      </c>
      <c r="C18" s="39" t="s">
        <v>38</v>
      </c>
      <c r="D18" s="39" t="s">
        <v>39</v>
      </c>
      <c r="E18" s="39">
        <v>4</v>
      </c>
      <c r="F18" s="39">
        <v>21845.1</v>
      </c>
      <c r="G18" s="59">
        <v>21845.1</v>
      </c>
      <c r="H18" s="45">
        <v>0</v>
      </c>
      <c r="I18" s="41">
        <f t="shared" si="0"/>
        <v>0</v>
      </c>
      <c r="J18" s="41">
        <f t="shared" si="5"/>
        <v>0</v>
      </c>
      <c r="K18" s="42">
        <f t="shared" si="2"/>
        <v>0</v>
      </c>
      <c r="L18" s="40">
        <f>L9*E18/100</f>
        <v>50440.6</v>
      </c>
      <c r="M18" s="40">
        <f t="shared" si="3"/>
        <v>50441.599999999999</v>
      </c>
      <c r="N18" s="22" t="e">
        <f t="shared" si="4"/>
        <v>#VALUE!</v>
      </c>
      <c r="O18" s="23">
        <f>J18/L9*100</f>
        <v>0</v>
      </c>
      <c r="P18" s="20">
        <f>C7*O18/100</f>
        <v>0</v>
      </c>
    </row>
    <row r="19" spans="1:19" x14ac:dyDescent="0.25">
      <c r="A19" s="18">
        <v>10</v>
      </c>
      <c r="B19" s="39">
        <v>10</v>
      </c>
      <c r="C19" s="39" t="s">
        <v>40</v>
      </c>
      <c r="D19" s="39" t="s">
        <v>63</v>
      </c>
      <c r="E19" s="39">
        <v>12.66</v>
      </c>
      <c r="F19" s="39">
        <v>23882.6</v>
      </c>
      <c r="G19" s="51">
        <v>24065</v>
      </c>
      <c r="H19" s="40">
        <v>0</v>
      </c>
      <c r="I19" s="41">
        <f t="shared" si="0"/>
        <v>0</v>
      </c>
      <c r="J19" s="41">
        <f t="shared" si="5"/>
        <v>17105.472000000136</v>
      </c>
      <c r="K19" s="42">
        <f t="shared" si="2"/>
        <v>182.40000000000146</v>
      </c>
      <c r="L19" s="40">
        <f>L9*E19/100</f>
        <v>159644.49900000001</v>
      </c>
      <c r="M19" s="40">
        <f>J19+L19+1</f>
        <v>176750.97100000014</v>
      </c>
      <c r="N19" s="22" t="e">
        <f t="shared" si="4"/>
        <v>#VALUE!</v>
      </c>
      <c r="O19" s="23">
        <f>J19/L9*100</f>
        <v>1.3564844192971643</v>
      </c>
      <c r="P19" s="20">
        <f>C7*O19/100</f>
        <v>1058.7360892614367</v>
      </c>
    </row>
    <row r="20" spans="1:19" x14ac:dyDescent="0.25">
      <c r="A20" s="39">
        <v>11</v>
      </c>
      <c r="B20" s="39">
        <v>11</v>
      </c>
      <c r="C20" s="39" t="s">
        <v>42</v>
      </c>
      <c r="D20" s="39" t="s">
        <v>29</v>
      </c>
      <c r="E20" s="39">
        <v>7.75</v>
      </c>
      <c r="F20" s="39">
        <v>18545.099999999999</v>
      </c>
      <c r="G20" s="51">
        <f>F20+200</f>
        <v>18745.099999999999</v>
      </c>
      <c r="H20" s="26">
        <v>0</v>
      </c>
      <c r="I20" s="41">
        <f t="shared" si="0"/>
        <v>0</v>
      </c>
      <c r="J20" s="41">
        <f t="shared" si="5"/>
        <v>18756</v>
      </c>
      <c r="K20" s="42">
        <f t="shared" si="2"/>
        <v>200</v>
      </c>
      <c r="L20" s="40">
        <f>L9*E20/100</f>
        <v>97728.662500000006</v>
      </c>
      <c r="M20" s="40">
        <f t="shared" si="3"/>
        <v>116485.66250000001</v>
      </c>
      <c r="N20" s="22" t="e">
        <f t="shared" si="4"/>
        <v>#VALUE!</v>
      </c>
      <c r="O20" s="23">
        <f>J20/L9*100</f>
        <v>1.4873732667731947</v>
      </c>
      <c r="P20" s="20">
        <f>C7*O20/100</f>
        <v>1160.8948347164785</v>
      </c>
    </row>
    <row r="21" spans="1:19" ht="15.75" customHeight="1" x14ac:dyDescent="0.25">
      <c r="A21" s="36">
        <v>12</v>
      </c>
      <c r="B21" s="36">
        <v>12</v>
      </c>
      <c r="C21" s="36" t="s">
        <v>43</v>
      </c>
      <c r="D21" s="63" t="s">
        <v>64</v>
      </c>
      <c r="E21" s="36">
        <v>7.51</v>
      </c>
      <c r="F21" s="36">
        <v>15233</v>
      </c>
      <c r="G21" s="66">
        <v>15269.3</v>
      </c>
      <c r="H21" s="64">
        <v>0</v>
      </c>
      <c r="I21" s="38">
        <f t="shared" si="0"/>
        <v>0</v>
      </c>
      <c r="J21" s="38">
        <f t="shared" si="5"/>
        <v>3404.2139999999317</v>
      </c>
      <c r="K21" s="65">
        <f t="shared" si="2"/>
        <v>36.299999999999272</v>
      </c>
      <c r="L21" s="37">
        <f>L9*E21/100</f>
        <v>94702.226500000004</v>
      </c>
      <c r="M21" s="37">
        <f t="shared" si="3"/>
        <v>98107.440499999939</v>
      </c>
      <c r="N21" s="22" t="e">
        <f t="shared" si="4"/>
        <v>#VALUE!</v>
      </c>
      <c r="O21" s="23">
        <f>J21/L9*100</f>
        <v>0.26995824791932943</v>
      </c>
      <c r="P21" s="20">
        <f>C7*O21/100</f>
        <v>210.70241250103663</v>
      </c>
      <c r="S21">
        <f>G21-F21</f>
        <v>36.299999999999272</v>
      </c>
    </row>
    <row r="22" spans="1:19" ht="15.75" customHeight="1" x14ac:dyDescent="0.25">
      <c r="A22" s="39">
        <v>13</v>
      </c>
      <c r="B22" s="36">
        <v>13</v>
      </c>
      <c r="C22" s="36" t="s">
        <v>45</v>
      </c>
      <c r="D22" s="36" t="s">
        <v>46</v>
      </c>
      <c r="E22" s="36">
        <v>4.45</v>
      </c>
      <c r="F22" s="36">
        <v>11607.2</v>
      </c>
      <c r="G22" s="66">
        <f>F22+193</f>
        <v>11800.2</v>
      </c>
      <c r="H22" s="64">
        <v>0</v>
      </c>
      <c r="I22" s="38">
        <f t="shared" si="0"/>
        <v>0</v>
      </c>
      <c r="J22" s="38">
        <f t="shared" si="5"/>
        <v>18099.54</v>
      </c>
      <c r="K22" s="65">
        <f t="shared" si="2"/>
        <v>193</v>
      </c>
      <c r="L22" s="37">
        <f>L9*E22/100</f>
        <v>56115.167500000003</v>
      </c>
      <c r="M22" s="37">
        <f t="shared" si="3"/>
        <v>74215.707500000004</v>
      </c>
      <c r="N22" s="22" t="e">
        <f t="shared" si="4"/>
        <v>#VALUE!</v>
      </c>
      <c r="O22" s="23">
        <f>J22/L9*100</f>
        <v>1.4353152024361329</v>
      </c>
      <c r="P22" s="20">
        <f>C7*O22/100</f>
        <v>1120.2635155014018</v>
      </c>
      <c r="S22">
        <f>G22-F22</f>
        <v>193</v>
      </c>
    </row>
    <row r="23" spans="1:19" ht="15.75" customHeight="1" x14ac:dyDescent="0.25">
      <c r="A23" s="18">
        <v>14</v>
      </c>
      <c r="B23" s="39">
        <v>14</v>
      </c>
      <c r="C23" s="39" t="s">
        <v>47</v>
      </c>
      <c r="D23" s="39" t="s">
        <v>48</v>
      </c>
      <c r="E23" s="39">
        <v>6.17</v>
      </c>
      <c r="F23" s="39">
        <v>20525.400000000001</v>
      </c>
      <c r="G23" s="51">
        <v>20525.400000000001</v>
      </c>
      <c r="H23" s="40">
        <v>0</v>
      </c>
      <c r="I23" s="41">
        <f t="shared" si="0"/>
        <v>0</v>
      </c>
      <c r="J23" s="41">
        <f t="shared" si="5"/>
        <v>0</v>
      </c>
      <c r="K23" s="42">
        <f t="shared" si="2"/>
        <v>0</v>
      </c>
      <c r="L23" s="40">
        <f>L9*E23/100</f>
        <v>77804.625499999995</v>
      </c>
      <c r="M23" s="40">
        <f>J23+L23+1</f>
        <v>77805.625499999995</v>
      </c>
      <c r="N23" s="22" t="e">
        <f t="shared" si="4"/>
        <v>#VALUE!</v>
      </c>
      <c r="O23" s="23">
        <f>J23/L9*100</f>
        <v>0</v>
      </c>
      <c r="P23" s="20">
        <f>C7*O23/100</f>
        <v>0</v>
      </c>
    </row>
    <row r="24" spans="1:19" ht="15.75" customHeight="1" x14ac:dyDescent="0.25">
      <c r="A24" s="39">
        <v>15</v>
      </c>
      <c r="B24" s="39">
        <v>15</v>
      </c>
      <c r="C24" s="39" t="s">
        <v>49</v>
      </c>
      <c r="D24" s="39" t="s">
        <v>25</v>
      </c>
      <c r="E24" s="39">
        <v>4.45</v>
      </c>
      <c r="F24" s="39">
        <v>31147.8</v>
      </c>
      <c r="G24" s="51">
        <v>31291.8</v>
      </c>
      <c r="H24" s="40">
        <v>0</v>
      </c>
      <c r="I24" s="41">
        <f t="shared" si="0"/>
        <v>0</v>
      </c>
      <c r="J24" s="41">
        <f t="shared" si="5"/>
        <v>13504.32</v>
      </c>
      <c r="K24" s="42">
        <f t="shared" si="2"/>
        <v>144</v>
      </c>
      <c r="L24" s="40">
        <f>L9*E24/100</f>
        <v>56115.167500000003</v>
      </c>
      <c r="M24" s="40">
        <f t="shared" si="3"/>
        <v>69620.487500000003</v>
      </c>
      <c r="N24" s="22" t="e">
        <f t="shared" si="4"/>
        <v>#VALUE!</v>
      </c>
      <c r="O24" s="23">
        <f>J24/L9*100</f>
        <v>1.0709087520767002</v>
      </c>
      <c r="P24" s="20">
        <f>C7*O24/100</f>
        <v>835.84428099586455</v>
      </c>
    </row>
    <row r="25" spans="1:19" ht="15.75" customHeight="1" x14ac:dyDescent="0.25">
      <c r="A25" s="39">
        <v>16</v>
      </c>
      <c r="B25" s="39">
        <v>16</v>
      </c>
      <c r="C25" s="39" t="s">
        <v>66</v>
      </c>
      <c r="D25" s="39" t="s">
        <v>41</v>
      </c>
      <c r="E25" s="39">
        <v>9.19</v>
      </c>
      <c r="F25" s="39">
        <v>11917.5</v>
      </c>
      <c r="G25" s="51">
        <v>12050.9</v>
      </c>
      <c r="H25" s="40">
        <v>0</v>
      </c>
      <c r="I25" s="41">
        <f t="shared" si="0"/>
        <v>0</v>
      </c>
      <c r="J25" s="41">
        <f t="shared" si="5"/>
        <v>12510.251999999966</v>
      </c>
      <c r="K25" s="42">
        <f t="shared" si="2"/>
        <v>133.39999999999964</v>
      </c>
      <c r="L25" s="40">
        <f>L9*E25/100</f>
        <v>115887.2785</v>
      </c>
      <c r="M25" s="40">
        <f>J25+L25+1</f>
        <v>128398.53049999996</v>
      </c>
      <c r="N25" s="22" t="e">
        <f t="shared" si="4"/>
        <v>#VALUE!</v>
      </c>
      <c r="O25" s="23">
        <f>J25/L9*100</f>
        <v>0.99207796893771816</v>
      </c>
      <c r="P25" s="20">
        <f>C7*O25/100</f>
        <v>774.31685475588904</v>
      </c>
    </row>
    <row r="26" spans="1:19" ht="15.75" customHeight="1" x14ac:dyDescent="0.25">
      <c r="A26" s="36">
        <v>17</v>
      </c>
      <c r="B26" s="39">
        <v>17</v>
      </c>
      <c r="C26" s="39" t="s">
        <v>51</v>
      </c>
      <c r="D26" s="39" t="s">
        <v>29</v>
      </c>
      <c r="E26" s="39">
        <v>1.18</v>
      </c>
      <c r="F26" s="39">
        <v>0</v>
      </c>
      <c r="G26" s="39">
        <v>0</v>
      </c>
      <c r="H26" s="40">
        <v>0</v>
      </c>
      <c r="I26" s="41">
        <f t="shared" si="0"/>
        <v>0</v>
      </c>
      <c r="J26" s="41">
        <f t="shared" si="5"/>
        <v>0</v>
      </c>
      <c r="K26" s="40"/>
      <c r="L26" s="40">
        <f>L9*E26/100</f>
        <v>14879.976999999999</v>
      </c>
      <c r="M26" s="40">
        <f t="shared" ref="M26:M33" si="6">J26+L26</f>
        <v>14879.976999999999</v>
      </c>
      <c r="N26" s="22" t="e">
        <f t="shared" si="4"/>
        <v>#VALUE!</v>
      </c>
      <c r="O26" s="23">
        <f>J26/L9*100</f>
        <v>0</v>
      </c>
      <c r="P26" s="20">
        <f>C7*O26/100</f>
        <v>0</v>
      </c>
    </row>
    <row r="27" spans="1:19" ht="15.75" customHeight="1" x14ac:dyDescent="0.25">
      <c r="A27" s="18">
        <v>18</v>
      </c>
      <c r="B27" s="60">
        <v>18</v>
      </c>
      <c r="C27" s="60" t="s">
        <v>52</v>
      </c>
      <c r="D27" s="60" t="s">
        <v>53</v>
      </c>
      <c r="E27" s="60">
        <v>1.18</v>
      </c>
      <c r="F27" s="60">
        <v>0</v>
      </c>
      <c r="G27" s="60">
        <v>0</v>
      </c>
      <c r="H27" s="61">
        <v>0</v>
      </c>
      <c r="I27" s="62">
        <f t="shared" si="0"/>
        <v>0</v>
      </c>
      <c r="J27" s="62">
        <f t="shared" si="5"/>
        <v>0</v>
      </c>
      <c r="K27" s="61"/>
      <c r="L27" s="61">
        <f>L26</f>
        <v>14879.976999999999</v>
      </c>
      <c r="M27" s="61">
        <f t="shared" si="6"/>
        <v>14879.976999999999</v>
      </c>
      <c r="N27" s="22" t="e">
        <f t="shared" si="4"/>
        <v>#VALUE!</v>
      </c>
      <c r="O27" s="23">
        <f>J27/L9*100</f>
        <v>0</v>
      </c>
      <c r="P27" s="20">
        <f>C7*O27/100</f>
        <v>0</v>
      </c>
    </row>
    <row r="28" spans="1:19" ht="15.75" customHeight="1" x14ac:dyDescent="0.25">
      <c r="A28" s="18">
        <v>19</v>
      </c>
      <c r="B28" s="60">
        <v>19</v>
      </c>
      <c r="C28" s="60" t="s">
        <v>54</v>
      </c>
      <c r="D28" s="60" t="s">
        <v>53</v>
      </c>
      <c r="E28" s="60">
        <v>1.18</v>
      </c>
      <c r="F28" s="60">
        <v>0</v>
      </c>
      <c r="G28" s="60">
        <v>0</v>
      </c>
      <c r="H28" s="61">
        <v>0</v>
      </c>
      <c r="I28" s="62">
        <f t="shared" si="0"/>
        <v>0</v>
      </c>
      <c r="J28" s="62">
        <f t="shared" si="5"/>
        <v>0</v>
      </c>
      <c r="K28" s="61"/>
      <c r="L28" s="61">
        <f>L27</f>
        <v>14879.976999999999</v>
      </c>
      <c r="M28" s="61">
        <f t="shared" si="6"/>
        <v>14879.976999999999</v>
      </c>
      <c r="N28" s="22" t="e">
        <f t="shared" si="4"/>
        <v>#VALUE!</v>
      </c>
      <c r="O28" s="23">
        <f>J28/L9*100</f>
        <v>0</v>
      </c>
      <c r="P28" s="20">
        <f>C7*O28/100</f>
        <v>0</v>
      </c>
    </row>
    <row r="29" spans="1:19" ht="15.75" customHeight="1" x14ac:dyDescent="0.25">
      <c r="A29" s="39">
        <v>20</v>
      </c>
      <c r="B29" s="39">
        <v>20</v>
      </c>
      <c r="C29" s="39" t="s">
        <v>55</v>
      </c>
      <c r="D29" s="39" t="s">
        <v>27</v>
      </c>
      <c r="E29" s="39">
        <v>1.18</v>
      </c>
      <c r="F29" s="39">
        <v>0</v>
      </c>
      <c r="G29" s="39">
        <v>0</v>
      </c>
      <c r="H29" s="40">
        <v>0</v>
      </c>
      <c r="I29" s="41">
        <f t="shared" si="0"/>
        <v>0</v>
      </c>
      <c r="J29" s="41">
        <f t="shared" si="5"/>
        <v>0</v>
      </c>
      <c r="K29" s="40"/>
      <c r="L29" s="40">
        <f>L28</f>
        <v>14879.976999999999</v>
      </c>
      <c r="M29" s="40">
        <f t="shared" si="6"/>
        <v>14879.976999999999</v>
      </c>
      <c r="N29" s="22" t="e">
        <f t="shared" si="4"/>
        <v>#VALUE!</v>
      </c>
      <c r="O29" s="23">
        <f>J29/L9*100</f>
        <v>0</v>
      </c>
      <c r="P29" s="20">
        <f>C7*O29/100</f>
        <v>0</v>
      </c>
    </row>
    <row r="30" spans="1:19" ht="15.75" customHeight="1" x14ac:dyDescent="0.25">
      <c r="A30" s="18">
        <v>21</v>
      </c>
      <c r="B30" s="18">
        <v>21</v>
      </c>
      <c r="C30" s="18" t="s">
        <v>56</v>
      </c>
      <c r="D30" s="44" t="s">
        <v>63</v>
      </c>
      <c r="E30" s="18">
        <v>1.18</v>
      </c>
      <c r="F30" s="18">
        <v>0</v>
      </c>
      <c r="G30" s="18">
        <v>0</v>
      </c>
      <c r="H30" s="19">
        <v>0</v>
      </c>
      <c r="I30" s="20">
        <f t="shared" si="0"/>
        <v>0</v>
      </c>
      <c r="J30" s="20">
        <f t="shared" si="5"/>
        <v>0</v>
      </c>
      <c r="K30" s="19"/>
      <c r="L30" s="19">
        <f t="shared" ref="L30:L33" si="7">L29</f>
        <v>14879.976999999999</v>
      </c>
      <c r="M30" s="19">
        <f t="shared" si="6"/>
        <v>14879.976999999999</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14879.976999999999</v>
      </c>
      <c r="M31" s="19">
        <f t="shared" si="6"/>
        <v>14879.976999999999</v>
      </c>
      <c r="N31" s="22" t="e">
        <f t="shared" si="4"/>
        <v>#VALUE!</v>
      </c>
      <c r="O31" s="23">
        <f>J31/L9*100</f>
        <v>0</v>
      </c>
      <c r="P31" s="20">
        <f>C7*O31/100</f>
        <v>0</v>
      </c>
    </row>
    <row r="32" spans="1:19" ht="15.75" customHeight="1" x14ac:dyDescent="0.25">
      <c r="A32" s="36">
        <v>23</v>
      </c>
      <c r="B32" s="39">
        <v>23</v>
      </c>
      <c r="C32" s="39" t="s">
        <v>58</v>
      </c>
      <c r="D32" s="39" t="s">
        <v>59</v>
      </c>
      <c r="E32" s="39">
        <v>1.18</v>
      </c>
      <c r="F32" s="39">
        <v>0</v>
      </c>
      <c r="G32" s="39">
        <v>0</v>
      </c>
      <c r="H32" s="40">
        <v>0</v>
      </c>
      <c r="I32" s="41">
        <f t="shared" si="0"/>
        <v>0</v>
      </c>
      <c r="J32" s="41">
        <f t="shared" si="5"/>
        <v>0</v>
      </c>
      <c r="K32" s="40"/>
      <c r="L32" s="40">
        <f t="shared" si="7"/>
        <v>14879.976999999999</v>
      </c>
      <c r="M32" s="40">
        <f t="shared" si="6"/>
        <v>14879.976999999999</v>
      </c>
      <c r="N32" s="22" t="e">
        <f t="shared" si="4"/>
        <v>#VALUE!</v>
      </c>
      <c r="O32" s="23">
        <f>J32/L9*100</f>
        <v>0</v>
      </c>
      <c r="P32" s="20">
        <f>C7*O32/100</f>
        <v>0</v>
      </c>
    </row>
    <row r="33" spans="1:16" x14ac:dyDescent="0.25">
      <c r="A33" s="36">
        <v>24</v>
      </c>
      <c r="B33" s="36">
        <v>24</v>
      </c>
      <c r="C33" s="36" t="s">
        <v>60</v>
      </c>
      <c r="D33" s="63" t="s">
        <v>64</v>
      </c>
      <c r="E33" s="36">
        <v>1.18</v>
      </c>
      <c r="F33" s="36">
        <v>0</v>
      </c>
      <c r="G33" s="36">
        <v>0</v>
      </c>
      <c r="H33" s="37">
        <v>0</v>
      </c>
      <c r="I33" s="38">
        <f t="shared" si="0"/>
        <v>0</v>
      </c>
      <c r="J33" s="38">
        <f t="shared" si="5"/>
        <v>0</v>
      </c>
      <c r="K33" s="37"/>
      <c r="L33" s="37">
        <f t="shared" si="7"/>
        <v>14879.976999999999</v>
      </c>
      <c r="M33" s="37">
        <f t="shared" si="6"/>
        <v>14879.976999999999</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197500.67999999993</v>
      </c>
      <c r="K34" s="29">
        <f>SUM(K10:K33)</f>
        <v>2105.9999999999991</v>
      </c>
      <c r="L34" s="29">
        <f>SUM(L10:L33)</f>
        <v>1260888.8984999994</v>
      </c>
      <c r="M34" s="29">
        <f>SUM(M10:M33)</f>
        <v>1458407.5784999996</v>
      </c>
      <c r="N34" s="5"/>
      <c r="O34" s="2" t="e">
        <f t="shared" ref="O34:O35" si="9">J34/C32*100</f>
        <v>#VALUE!</v>
      </c>
    </row>
    <row r="35" spans="1:16" ht="30" hidden="1" x14ac:dyDescent="0.25">
      <c r="A35" s="31" t="s">
        <v>61</v>
      </c>
      <c r="C35" s="55" t="s">
        <v>62</v>
      </c>
      <c r="D35" s="53"/>
      <c r="E35" s="53"/>
      <c r="F35" s="53"/>
      <c r="G35" s="53"/>
      <c r="H35" s="53"/>
      <c r="I35" s="53"/>
      <c r="J35" s="53"/>
      <c r="K35" s="53"/>
      <c r="L35" s="53"/>
      <c r="M35" s="56"/>
      <c r="N35" s="31"/>
      <c r="O35" s="2" t="e">
        <f t="shared" si="9"/>
        <v>#VALUE!</v>
      </c>
    </row>
    <row r="36" spans="1:16" x14ac:dyDescent="0.25">
      <c r="H36" s="5"/>
      <c r="J36" s="32"/>
      <c r="L36" s="32"/>
      <c r="M36" s="33"/>
      <c r="O36" s="2"/>
    </row>
    <row r="37" spans="1:16" ht="37.5" hidden="1" customHeight="1" x14ac:dyDescent="0.25">
      <c r="H37" s="5"/>
      <c r="K37" s="34">
        <f>J34+L34</f>
        <v>1458389.5784999994</v>
      </c>
      <c r="L37" s="34"/>
      <c r="O37" s="2"/>
    </row>
    <row r="38" spans="1:16" ht="0.75" customHeight="1" x14ac:dyDescent="0.25">
      <c r="B38" s="57" t="s">
        <v>65</v>
      </c>
      <c r="C38" s="58"/>
      <c r="D38" s="58"/>
      <c r="E38" s="58"/>
      <c r="F38" s="58"/>
      <c r="G38" s="58"/>
      <c r="H38" s="58"/>
      <c r="I38" s="58"/>
      <c r="J38" s="58"/>
      <c r="K38" s="58"/>
      <c r="L38" s="58"/>
      <c r="M38" s="58"/>
      <c r="O38" s="2"/>
    </row>
    <row r="39" spans="1:16" ht="33.75" hidden="1" customHeight="1" x14ac:dyDescent="0.25">
      <c r="B39" s="58"/>
      <c r="C39" s="58"/>
      <c r="D39" s="58"/>
      <c r="E39" s="58"/>
      <c r="F39" s="58"/>
      <c r="G39" s="58"/>
      <c r="H39" s="58"/>
      <c r="I39" s="58"/>
      <c r="J39" s="58"/>
      <c r="K39" s="58"/>
      <c r="L39" s="58"/>
      <c r="M39" s="58"/>
      <c r="O39" s="2"/>
    </row>
    <row r="40" spans="1:16" ht="15.75" hidden="1" customHeight="1" x14ac:dyDescent="0.25">
      <c r="B40" s="58"/>
      <c r="C40" s="58"/>
      <c r="D40" s="58"/>
      <c r="E40" s="58"/>
      <c r="F40" s="58"/>
      <c r="G40" s="58"/>
      <c r="H40" s="58"/>
      <c r="I40" s="58"/>
      <c r="J40" s="58"/>
      <c r="K40" s="58"/>
      <c r="L40" s="58"/>
      <c r="M40" s="58"/>
      <c r="O40" s="2"/>
    </row>
    <row r="41" spans="1:16" ht="15.75" hidden="1" customHeight="1" x14ac:dyDescent="0.25">
      <c r="B41" s="58"/>
      <c r="C41" s="58"/>
      <c r="D41" s="58"/>
      <c r="E41" s="58"/>
      <c r="F41" s="58"/>
      <c r="G41" s="58"/>
      <c r="H41" s="58"/>
      <c r="I41" s="58"/>
      <c r="J41" s="58"/>
      <c r="K41" s="58"/>
      <c r="L41" s="58"/>
      <c r="M41" s="58"/>
      <c r="O41" s="2"/>
    </row>
    <row r="42" spans="1:16" ht="64.5" hidden="1" customHeight="1" x14ac:dyDescent="0.25">
      <c r="B42" s="58"/>
      <c r="C42" s="58"/>
      <c r="D42" s="58"/>
      <c r="E42" s="58"/>
      <c r="F42" s="58"/>
      <c r="G42" s="58"/>
      <c r="H42" s="58"/>
      <c r="I42" s="58"/>
      <c r="J42" s="58"/>
      <c r="K42" s="58"/>
      <c r="L42" s="58"/>
      <c r="M42" s="58"/>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2" t="s">
        <v>0</v>
      </c>
      <c r="B1" s="53"/>
      <c r="C1" s="53"/>
      <c r="D1" s="53"/>
      <c r="E1" s="53"/>
      <c r="F1" s="53"/>
      <c r="G1" s="53"/>
      <c r="H1" s="53"/>
      <c r="I1" s="53"/>
      <c r="J1" s="53"/>
      <c r="K1" s="53"/>
      <c r="L1" s="53"/>
      <c r="M1" s="54"/>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55" t="s">
        <v>62</v>
      </c>
      <c r="D35" s="53"/>
      <c r="E35" s="53"/>
      <c r="F35" s="53"/>
      <c r="G35" s="53"/>
      <c r="H35" s="53"/>
      <c r="I35" s="53"/>
      <c r="J35" s="53"/>
      <c r="K35" s="53"/>
      <c r="L35" s="53"/>
      <c r="M35" s="56"/>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2025-11-02T20:12:58Z</dcterms:modified>
</cp:coreProperties>
</file>