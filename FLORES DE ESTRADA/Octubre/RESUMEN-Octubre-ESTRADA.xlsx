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Octubre\"/>
    </mc:Choice>
  </mc:AlternateContent>
  <xr:revisionPtr revIDLastSave="0" documentId="13_ncr:1_{33D6CAD0-7A62-4B9D-A0B3-ADCBFFD975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" i="1" l="1"/>
  <c r="H13" i="1" l="1"/>
  <c r="H26" i="1" l="1"/>
  <c r="A35" i="1" l="1"/>
  <c r="H15" i="1" l="1"/>
  <c r="H18" i="1" l="1"/>
  <c r="H22" i="1" l="1"/>
  <c r="H32" i="1" s="1"/>
  <c r="H43" i="1" s="1"/>
  <c r="H34" i="1" l="1"/>
</calcChain>
</file>

<file path=xl/sharedStrings.xml><?xml version="1.0" encoding="utf-8"?>
<sst xmlns="http://schemas.openxmlformats.org/spreadsheetml/2006/main" count="45" uniqueCount="43">
  <si>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</si>
  <si>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</si>
  <si>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</si>
  <si>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</si>
  <si>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</si>
  <si>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</si>
  <si>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</si>
  <si>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</si>
  <si>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</si>
  <si>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</si>
  <si>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</si>
  <si>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</si>
  <si>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</si>
  <si>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</si>
  <si>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</si>
  <si>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</si>
  <si>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</si>
  <si>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</si>
  <si>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</si>
  <si>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</si>
  <si>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</si>
  <si>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</si>
  <si>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</si>
  <si>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</si>
  <si>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</si>
  <si>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</si>
  <si>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</si>
  <si>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Mercantil Andina - Poliza Nº 001172541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</si>
  <si>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</si>
  <si>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</si>
  <si>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</si>
  <si>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</si>
  <si>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</si>
  <si>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CAJA NO REAL, YA QUE DE ESTE FONDO SE PAGA EDESUR DE LAS UNIDADES FUNCIONALES ATRASADAS. QUIEN SE ATRASE CON EDESUR TENDRA PUNITORIOS.</t>
  </si>
  <si>
    <t>SUELDO SRA. FERNANDA</t>
  </si>
  <si>
    <t>Articulos de limpieza</t>
  </si>
  <si>
    <t>PERIODO: OCTUBRE - Vto. 14/11</t>
  </si>
  <si>
    <t>AYSA - OCTUBRE 2025</t>
  </si>
  <si>
    <t>ASCENSORES Premec S.R.L. - Mantenimiento de Ascensor OCTUBRE</t>
  </si>
  <si>
    <t>Administraciòn OCTUBRE 2025:</t>
  </si>
  <si>
    <t>Egresos gastos del mes - OCTUBRE ORDINARIO</t>
  </si>
  <si>
    <t>Egresos gastos del mes - OCTUBRE EXTRAORDINARIO</t>
  </si>
  <si>
    <t>AUMENTARON LOS HONORARIOS EN 0ct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</si>
</sst>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5" borderId="0" xfId="0" applyFill="1"/>
    <xf numFmtId="8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8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8" fontId="7" fillId="5" borderId="6" xfId="1" applyNumberFormat="1" applyFont="1" applyFill="1" applyBorder="1" applyAlignment="1">
      <alignment horizontal="center"/>
    </xf>
    <xf numFmtId="8" fontId="7" fillId="6" borderId="3" xfId="1" applyNumberFormat="1" applyFont="1" applyFill="1" applyBorder="1"/>
    <xf numFmtId="6" fontId="4" fillId="5" borderId="3" xfId="1" applyNumberFormat="1" applyFont="1" applyFill="1" applyBorder="1"/>
    <xf numFmtId="6" fontId="0" fillId="0" borderId="0" xfId="0" applyNumberFormat="1"/>
    <xf numFmtId="44" fontId="0" fillId="0" borderId="0" xfId="0" applyNumberFormat="1"/>
    <xf numFmtId="8" fontId="3" fillId="0" borderId="0" xfId="0" applyNumberFormat="1" applyFont="1"/>
    <xf numFmtId="0" fontId="4" fillId="0" borderId="9" xfId="0" applyFont="1" applyBorder="1"/>
    <xf numFmtId="164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8" fontId="6" fillId="8" borderId="3" xfId="0" applyNumberFormat="1" applyFont="1" applyFill="1" applyBorder="1" applyAlignment="1">
      <alignment vertical="center"/>
    </xf>
    <xf numFmtId="0" fontId="6" fillId="5" borderId="3" xfId="0" applyFont="1" applyFill="1" applyBorder="1"/>
    <xf numFmtId="8" fontId="6" fillId="5" borderId="3" xfId="0" applyNumberFormat="1" applyFont="1" applyFill="1" applyBorder="1"/>
    <xf numFmtId="0" fontId="4" fillId="0" borderId="3" xfId="0" applyFont="1" applyBorder="1"/>
    <xf numFmtId="6" fontId="4" fillId="5" borderId="3" xfId="0" applyNumberFormat="1" applyFont="1" applyFill="1" applyBorder="1"/>
    <xf numFmtId="0" fontId="4" fillId="4" borderId="3" xfId="0" applyFont="1" applyFill="1" applyBorder="1"/>
    <xf numFmtId="6" fontId="5" fillId="4" borderId="3" xfId="0" applyNumberFormat="1" applyFont="1" applyFill="1" applyBorder="1"/>
    <xf numFmtId="44" fontId="5" fillId="4" borderId="3" xfId="0" applyNumberFormat="1" applyFont="1" applyFill="1" applyBorder="1"/>
    <xf numFmtId="0" fontId="4" fillId="5" borderId="3" xfId="0" applyFont="1" applyFill="1" applyBorder="1"/>
    <xf numFmtId="44" fontId="4" fillId="5" borderId="3" xfId="0" applyNumberFormat="1" applyFont="1" applyFill="1" applyBorder="1"/>
    <xf numFmtId="44" fontId="4" fillId="5" borderId="3" xfId="1" applyFont="1" applyFill="1" applyBorder="1"/>
    <xf numFmtId="44" fontId="5" fillId="0" borderId="3" xfId="0" applyNumberFormat="1" applyFont="1" applyBorder="1"/>
    <xf numFmtId="0" fontId="4" fillId="0" borderId="3" xfId="0" applyFont="1" applyBorder="1" applyAlignment="1">
      <alignment horizontal="left" vertical="center" wrapText="1"/>
    </xf>
    <xf numFmtId="44" fontId="5" fillId="4" borderId="3" xfId="1" applyFont="1" applyFill="1" applyBorder="1"/>
    <xf numFmtId="0" fontId="6" fillId="2" borderId="3" xfId="0" applyFont="1" applyFill="1" applyBorder="1"/>
    <xf numFmtId="44" fontId="11" fillId="0" borderId="3" xfId="1" applyFont="1" applyBorder="1"/>
    <xf numFmtId="0" fontId="4" fillId="0" borderId="3" xfId="0" applyFont="1" applyBorder="1" applyAlignment="1">
      <alignment horizontal="left" vertical="center"/>
    </xf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/>
    </xf>
    <xf numFmtId="44" fontId="6" fillId="2" borderId="3" xfId="0" applyNumberFormat="1" applyFont="1" applyFill="1" applyBorder="1"/>
    <xf numFmtId="44" fontId="4" fillId="0" borderId="3" xfId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5" workbookViewId="0">
      <selection activeCell="H13" sqref="A13:H33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24"/>
      <c r="B1" s="25"/>
      <c r="C1" s="25"/>
      <c r="D1" s="25"/>
      <c r="E1" s="25"/>
      <c r="F1" s="25"/>
      <c r="G1" s="25"/>
      <c r="H1" s="26"/>
    </row>
    <row r="2" spans="1:8" x14ac:dyDescent="0.25">
      <c r="A2" s="22"/>
      <c r="B2" s="8"/>
      <c r="C2" s="8"/>
      <c r="D2" s="27" t="s">
        <v>0</v>
      </c>
      <c r="E2" s="8" t="s">
        <v>1</v>
      </c>
      <c r="F2" s="8"/>
      <c r="G2" s="8"/>
      <c r="H2" s="7"/>
    </row>
    <row r="3" spans="1:8" x14ac:dyDescent="0.25">
      <c r="A3" s="22"/>
      <c r="B3" s="8"/>
      <c r="C3" s="8"/>
      <c r="D3" s="27" t="s">
        <v>2</v>
      </c>
      <c r="E3" s="8">
        <v>1153202676</v>
      </c>
      <c r="F3" s="8"/>
      <c r="G3" s="8"/>
      <c r="H3" s="7"/>
    </row>
    <row r="4" spans="1:8" x14ac:dyDescent="0.25">
      <c r="A4" s="22"/>
      <c r="B4" s="8"/>
      <c r="C4" s="8"/>
      <c r="D4" s="27" t="s">
        <v>3</v>
      </c>
      <c r="E4" s="28" t="s">
        <v>4</v>
      </c>
      <c r="F4" s="8"/>
      <c r="G4" s="8"/>
      <c r="H4" s="7"/>
    </row>
    <row r="5" spans="1:8" x14ac:dyDescent="0.25">
      <c r="A5" s="22"/>
      <c r="B5" s="8"/>
      <c r="C5" s="8"/>
      <c r="D5" s="27" t="s">
        <v>26</v>
      </c>
      <c r="E5" s="8"/>
      <c r="F5" s="8"/>
      <c r="G5" s="8"/>
      <c r="H5" s="7"/>
    </row>
    <row r="6" spans="1:8" x14ac:dyDescent="0.25">
      <c r="A6" s="22"/>
      <c r="B6" s="8"/>
      <c r="C6" s="8"/>
      <c r="D6" s="8"/>
      <c r="E6" s="8"/>
      <c r="F6" s="8"/>
      <c r="G6" s="8"/>
      <c r="H6" s="7"/>
    </row>
    <row r="7" spans="1:8" ht="18.75" x14ac:dyDescent="0.3">
      <c r="A7" s="29" t="s">
        <v>5</v>
      </c>
      <c r="B7" s="30"/>
      <c r="C7" s="30"/>
      <c r="D7" s="30"/>
      <c r="E7" s="30" t="s">
        <v>36</v>
      </c>
      <c r="F7" s="30"/>
      <c r="G7" s="31"/>
      <c r="H7" s="32"/>
    </row>
    <row r="8" spans="1:8" x14ac:dyDescent="0.25">
      <c r="A8" s="24"/>
      <c r="B8" s="25"/>
      <c r="C8" s="25"/>
      <c r="D8" s="25"/>
      <c r="E8" s="25"/>
      <c r="F8" s="25"/>
      <c r="G8" s="25"/>
      <c r="H8" s="26"/>
    </row>
    <row r="9" spans="1:8" x14ac:dyDescent="0.25">
      <c r="A9" s="22" t="s">
        <v>6</v>
      </c>
      <c r="B9" s="8"/>
      <c r="C9" s="8"/>
      <c r="D9" s="8"/>
      <c r="E9" s="8" t="s">
        <v>7</v>
      </c>
      <c r="F9" s="8"/>
      <c r="G9" s="8"/>
      <c r="H9" s="7"/>
    </row>
    <row r="10" spans="1:8" x14ac:dyDescent="0.25">
      <c r="A10" s="22" t="s">
        <v>8</v>
      </c>
      <c r="B10" s="8" t="s">
        <v>1</v>
      </c>
      <c r="C10" s="8"/>
      <c r="D10" s="8"/>
      <c r="E10" s="8"/>
      <c r="F10" s="8"/>
      <c r="G10" s="8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55" t="s">
        <v>15</v>
      </c>
      <c r="B12" s="55"/>
      <c r="C12" s="55"/>
      <c r="D12" s="55"/>
      <c r="E12" s="55"/>
      <c r="F12" s="55"/>
      <c r="G12" s="55"/>
      <c r="H12" s="55"/>
    </row>
    <row r="13" spans="1:8" ht="15" customHeight="1" x14ac:dyDescent="0.25">
      <c r="A13" s="36" t="s">
        <v>34</v>
      </c>
      <c r="B13" s="36"/>
      <c r="C13" s="36"/>
      <c r="D13" s="36"/>
      <c r="E13" s="36"/>
      <c r="F13" s="36"/>
      <c r="G13" s="36"/>
      <c r="H13" s="37">
        <f>218000+218000*10%</f>
        <v>239800</v>
      </c>
    </row>
    <row r="14" spans="1:8" hidden="1" x14ac:dyDescent="0.25">
      <c r="A14" s="56"/>
      <c r="B14" s="56"/>
      <c r="C14" s="56"/>
      <c r="D14" s="56"/>
      <c r="E14" s="56"/>
      <c r="F14" s="56"/>
      <c r="G14" s="56"/>
      <c r="H14" s="37"/>
    </row>
    <row r="15" spans="1:8" ht="14.25" customHeight="1" x14ac:dyDescent="0.25">
      <c r="A15" s="38" t="s">
        <v>9</v>
      </c>
      <c r="B15" s="38"/>
      <c r="C15" s="38"/>
      <c r="D15" s="38"/>
      <c r="E15" s="38"/>
      <c r="F15" s="38"/>
      <c r="G15" s="38"/>
      <c r="H15" s="39">
        <f>SUM(H13:H14)</f>
        <v>239800</v>
      </c>
    </row>
    <row r="16" spans="1:8" x14ac:dyDescent="0.25">
      <c r="A16" s="55" t="s">
        <v>10</v>
      </c>
      <c r="B16" s="55"/>
      <c r="C16" s="55"/>
      <c r="D16" s="55"/>
      <c r="E16" s="55"/>
      <c r="F16" s="55"/>
      <c r="G16" s="55"/>
      <c r="H16" s="55"/>
    </row>
    <row r="17" spans="1:11" x14ac:dyDescent="0.25">
      <c r="A17" s="36" t="s">
        <v>37</v>
      </c>
      <c r="B17" s="36"/>
      <c r="C17" s="36"/>
      <c r="D17" s="36"/>
      <c r="E17" s="36"/>
      <c r="F17" s="36"/>
      <c r="G17" s="36"/>
      <c r="H17" s="43">
        <v>29978.35</v>
      </c>
    </row>
    <row r="18" spans="1:11" x14ac:dyDescent="0.25">
      <c r="A18" s="38" t="s">
        <v>11</v>
      </c>
      <c r="B18" s="38"/>
      <c r="C18" s="38"/>
      <c r="D18" s="38"/>
      <c r="E18" s="38"/>
      <c r="F18" s="38"/>
      <c r="G18" s="38"/>
      <c r="H18" s="40">
        <f>SUM(H17:H17)</f>
        <v>29978.35</v>
      </c>
    </row>
    <row r="19" spans="1:11" x14ac:dyDescent="0.25">
      <c r="A19" s="55" t="s">
        <v>19</v>
      </c>
      <c r="B19" s="55"/>
      <c r="C19" s="55"/>
      <c r="D19" s="55"/>
      <c r="E19" s="55"/>
      <c r="F19" s="55"/>
      <c r="G19" s="55"/>
      <c r="H19" s="55"/>
    </row>
    <row r="20" spans="1:11" x14ac:dyDescent="0.25">
      <c r="A20" s="41" t="s">
        <v>20</v>
      </c>
      <c r="B20" s="41"/>
      <c r="C20" s="41"/>
      <c r="D20" s="41"/>
      <c r="E20" s="41"/>
      <c r="F20" s="41"/>
      <c r="G20" s="41"/>
      <c r="H20" s="42">
        <v>0</v>
      </c>
    </row>
    <row r="21" spans="1:11" x14ac:dyDescent="0.25">
      <c r="A21" s="36" t="s">
        <v>30</v>
      </c>
      <c r="B21" s="36"/>
      <c r="C21" s="36"/>
      <c r="D21" s="36"/>
      <c r="E21" s="36"/>
      <c r="F21" s="36"/>
      <c r="G21" s="36"/>
      <c r="H21" s="43">
        <v>1809248</v>
      </c>
    </row>
    <row r="22" spans="1:11" x14ac:dyDescent="0.25">
      <c r="A22" s="36" t="s">
        <v>9</v>
      </c>
      <c r="B22" s="36"/>
      <c r="C22" s="36"/>
      <c r="D22" s="36"/>
      <c r="E22" s="36"/>
      <c r="F22" s="36"/>
      <c r="G22" s="36"/>
      <c r="H22" s="44">
        <f>SUM(H20:H21)</f>
        <v>1809248</v>
      </c>
    </row>
    <row r="23" spans="1:11" x14ac:dyDescent="0.25">
      <c r="A23" s="55" t="s">
        <v>21</v>
      </c>
      <c r="B23" s="55"/>
      <c r="C23" s="55"/>
      <c r="D23" s="55"/>
      <c r="E23" s="55"/>
      <c r="F23" s="55"/>
      <c r="G23" s="55"/>
      <c r="H23" s="55"/>
    </row>
    <row r="24" spans="1:11" x14ac:dyDescent="0.25">
      <c r="A24" s="57" t="s">
        <v>38</v>
      </c>
      <c r="B24" s="57"/>
      <c r="C24" s="57"/>
      <c r="D24" s="57"/>
      <c r="E24" s="57"/>
      <c r="F24" s="57"/>
      <c r="G24" s="57"/>
      <c r="H24" s="43">
        <v>70000</v>
      </c>
    </row>
    <row r="25" spans="1:11" x14ac:dyDescent="0.25">
      <c r="A25" s="49" t="s">
        <v>35</v>
      </c>
      <c r="B25" s="45"/>
      <c r="C25" s="45"/>
      <c r="D25" s="45"/>
      <c r="E25" s="45"/>
      <c r="F25" s="45"/>
      <c r="G25" s="45"/>
      <c r="H25" s="43">
        <v>74600</v>
      </c>
    </row>
    <row r="26" spans="1:11" ht="15.75" customHeight="1" x14ac:dyDescent="0.25">
      <c r="A26" s="38" t="s">
        <v>12</v>
      </c>
      <c r="B26" s="38"/>
      <c r="C26" s="38"/>
      <c r="D26" s="38"/>
      <c r="E26" s="38"/>
      <c r="F26" s="38"/>
      <c r="G26" s="38"/>
      <c r="H26" s="40">
        <f>SUM(H24:H25)</f>
        <v>144600</v>
      </c>
    </row>
    <row r="27" spans="1:11" x14ac:dyDescent="0.25">
      <c r="A27" s="55" t="s">
        <v>22</v>
      </c>
      <c r="B27" s="55"/>
      <c r="C27" s="55"/>
      <c r="D27" s="55"/>
      <c r="E27" s="55"/>
      <c r="F27" s="55"/>
      <c r="G27" s="55"/>
      <c r="H27" s="55"/>
    </row>
    <row r="28" spans="1:11" x14ac:dyDescent="0.25">
      <c r="A28" s="36" t="s">
        <v>13</v>
      </c>
      <c r="B28" s="36"/>
      <c r="C28" s="36" t="s">
        <v>14</v>
      </c>
      <c r="D28" s="36"/>
      <c r="E28" s="36" t="s">
        <v>25</v>
      </c>
      <c r="F28" s="36"/>
      <c r="G28" s="36"/>
      <c r="H28" s="36"/>
      <c r="I28" s="20"/>
    </row>
    <row r="29" spans="1:11" x14ac:dyDescent="0.25">
      <c r="A29" s="38" t="s">
        <v>39</v>
      </c>
      <c r="B29" s="38"/>
      <c r="C29" s="38"/>
      <c r="D29" s="38"/>
      <c r="E29" s="38"/>
      <c r="F29" s="38"/>
      <c r="G29" s="38"/>
      <c r="H29" s="46">
        <v>156900</v>
      </c>
      <c r="I29" s="20"/>
      <c r="K29" t="s">
        <v>42</v>
      </c>
    </row>
    <row r="30" spans="1:11" x14ac:dyDescent="0.25">
      <c r="A30" s="55" t="s">
        <v>23</v>
      </c>
      <c r="B30" s="55"/>
      <c r="C30" s="55"/>
      <c r="D30" s="55"/>
      <c r="E30" s="55"/>
      <c r="F30" s="55"/>
      <c r="G30" s="55"/>
      <c r="H30" s="55"/>
    </row>
    <row r="31" spans="1:11" x14ac:dyDescent="0.25">
      <c r="A31" s="36" t="s">
        <v>27</v>
      </c>
      <c r="B31" s="36"/>
      <c r="C31" s="36"/>
      <c r="D31" s="36"/>
      <c r="E31" s="36"/>
      <c r="F31" s="36"/>
      <c r="G31" s="36"/>
      <c r="H31" s="60">
        <v>99656</v>
      </c>
    </row>
    <row r="32" spans="1:11" s="3" customFormat="1" ht="15.75" x14ac:dyDescent="0.25">
      <c r="A32" s="47" t="s">
        <v>24</v>
      </c>
      <c r="B32" s="47"/>
      <c r="C32" s="47"/>
      <c r="D32" s="47"/>
      <c r="E32" s="47"/>
      <c r="F32" s="47"/>
      <c r="G32" s="47"/>
      <c r="H32" s="59">
        <f>H31+H29+H26+H22+H18+H15</f>
        <v>2480182.35</v>
      </c>
    </row>
    <row r="33" spans="1:10" s="3" customFormat="1" ht="15.75" x14ac:dyDescent="0.25">
      <c r="A33" s="34" t="s">
        <v>32</v>
      </c>
      <c r="B33" s="34"/>
      <c r="C33" s="34"/>
      <c r="D33" s="34"/>
      <c r="E33" s="34"/>
      <c r="F33" s="34"/>
      <c r="G33" s="34"/>
      <c r="H33" s="35"/>
      <c r="I33" s="21"/>
      <c r="J33" s="21"/>
    </row>
    <row r="34" spans="1:10" s="3" customFormat="1" ht="15.75" x14ac:dyDescent="0.25">
      <c r="A34" s="34" t="s">
        <v>29</v>
      </c>
      <c r="B34" s="34"/>
      <c r="C34" s="34"/>
      <c r="D34" s="34"/>
      <c r="E34" s="34"/>
      <c r="F34" s="34"/>
      <c r="G34" s="34"/>
      <c r="H34" s="35">
        <f>H32+H33</f>
        <v>2480182.35</v>
      </c>
      <c r="I34" s="23"/>
    </row>
    <row r="35" spans="1:10" s="1" customFormat="1" ht="18.75" customHeight="1" x14ac:dyDescent="0.25">
      <c r="A35" s="58" t="str">
        <f>UPPER("Prevision Extraordinaria")</f>
        <v>PREVISION EXTRAORDINARIA</v>
      </c>
      <c r="B35" s="58"/>
      <c r="C35" s="58"/>
      <c r="D35" s="58"/>
      <c r="E35" s="58"/>
      <c r="F35" s="58"/>
      <c r="G35" s="58"/>
      <c r="H35" s="33"/>
    </row>
    <row r="36" spans="1:10" hidden="1" x14ac:dyDescent="0.25">
      <c r="A36" s="51" t="s">
        <v>16</v>
      </c>
      <c r="B36" s="51"/>
      <c r="C36" s="51"/>
      <c r="D36" s="51"/>
      <c r="E36" s="51"/>
      <c r="F36" s="51"/>
      <c r="G36" s="51"/>
      <c r="H36" s="51"/>
    </row>
    <row r="37" spans="1:10" hidden="1" x14ac:dyDescent="0.25">
      <c r="A37" s="51"/>
      <c r="B37" s="51"/>
      <c r="C37" s="51"/>
      <c r="D37" s="51"/>
      <c r="E37" s="51"/>
      <c r="F37" s="51"/>
      <c r="G37" s="51"/>
      <c r="H37" s="51"/>
    </row>
    <row r="38" spans="1:10" hidden="1" x14ac:dyDescent="0.25">
      <c r="A38" s="8"/>
      <c r="B38" s="8"/>
      <c r="C38" s="8"/>
      <c r="D38" s="8"/>
      <c r="E38" s="8"/>
      <c r="F38" s="8"/>
      <c r="G38" s="8"/>
      <c r="H38" s="8"/>
    </row>
    <row r="39" spans="1:10" ht="18.75" x14ac:dyDescent="0.3">
      <c r="A39" s="52"/>
      <c r="B39" s="53"/>
      <c r="C39" s="53"/>
      <c r="D39" s="53"/>
      <c r="E39" s="53"/>
      <c r="F39" s="53"/>
      <c r="G39" s="53"/>
      <c r="H39" s="54"/>
      <c r="J39" s="2"/>
    </row>
    <row r="40" spans="1:10" ht="18.75" x14ac:dyDescent="0.3">
      <c r="A40" s="9" t="s">
        <v>18</v>
      </c>
      <c r="B40" s="10"/>
      <c r="C40" s="10"/>
      <c r="D40" s="10"/>
      <c r="E40" s="10"/>
      <c r="F40" s="10"/>
      <c r="G40" s="10"/>
      <c r="H40" s="16">
        <v>5785797.8540805168</v>
      </c>
    </row>
    <row r="41" spans="1:10" x14ac:dyDescent="0.25">
      <c r="A41" s="11" t="s">
        <v>31</v>
      </c>
      <c r="B41" s="12"/>
      <c r="C41" s="12"/>
      <c r="D41" s="12"/>
      <c r="E41" s="12"/>
      <c r="F41" s="12"/>
      <c r="G41" s="12"/>
      <c r="H41" s="18">
        <v>2432930.8005127362</v>
      </c>
    </row>
    <row r="42" spans="1:10" x14ac:dyDescent="0.25">
      <c r="A42" s="11" t="s">
        <v>28</v>
      </c>
      <c r="B42" s="12"/>
      <c r="C42" s="12"/>
      <c r="D42" s="12"/>
      <c r="E42" s="12"/>
      <c r="F42" s="12"/>
      <c r="G42" s="12"/>
      <c r="H42" s="48"/>
      <c r="I42" s="19"/>
    </row>
    <row r="43" spans="1:10" x14ac:dyDescent="0.25">
      <c r="A43" s="11" t="s">
        <v>40</v>
      </c>
      <c r="B43" s="12"/>
      <c r="C43" s="12"/>
      <c r="D43" s="12"/>
      <c r="E43" s="12"/>
      <c r="F43" s="12"/>
      <c r="G43" s="12"/>
      <c r="H43" s="13">
        <f>-( H32 )</f>
        <v>-2480182.35</v>
      </c>
    </row>
    <row r="44" spans="1:10" x14ac:dyDescent="0.25">
      <c r="A44" s="11" t="s">
        <v>41</v>
      </c>
      <c r="B44" s="12"/>
      <c r="C44" s="12"/>
      <c r="D44" s="12"/>
      <c r="E44" s="12"/>
      <c r="F44" s="12"/>
      <c r="G44" s="12"/>
      <c r="H44" s="13"/>
    </row>
    <row r="45" spans="1:10" ht="18.75" x14ac:dyDescent="0.3">
      <c r="A45" s="14" t="s">
        <v>17</v>
      </c>
      <c r="B45" s="15"/>
      <c r="C45" s="15"/>
      <c r="D45" s="15"/>
      <c r="E45" s="15"/>
      <c r="F45" s="15"/>
      <c r="G45" s="15"/>
      <c r="H45" s="17">
        <f>SUM(H40:H44)</f>
        <v>5738546.3045932539</v>
      </c>
    </row>
    <row r="46" spans="1:10" hidden="1" x14ac:dyDescent="0.25">
      <c r="A46" s="8"/>
      <c r="B46" s="8"/>
      <c r="C46" s="8"/>
      <c r="D46" s="8"/>
      <c r="E46" s="8"/>
      <c r="F46" s="8"/>
      <c r="G46" s="8"/>
      <c r="H46" s="8"/>
    </row>
    <row r="47" spans="1:10" x14ac:dyDescent="0.25">
      <c r="A47" s="8"/>
      <c r="B47" s="50" t="s">
        <v>33</v>
      </c>
      <c r="C47" s="50"/>
      <c r="D47" s="50"/>
      <c r="E47" s="50"/>
      <c r="F47" s="50"/>
      <c r="G47" s="50"/>
      <c r="H47" s="8"/>
    </row>
    <row r="48" spans="1:10" x14ac:dyDescent="0.25">
      <c r="A48" s="8"/>
      <c r="B48" s="50"/>
      <c r="C48" s="50"/>
      <c r="D48" s="50"/>
      <c r="E48" s="50"/>
      <c r="F48" s="50"/>
      <c r="G48" s="50"/>
      <c r="H48" s="8"/>
    </row>
    <row r="49" spans="1:8" x14ac:dyDescent="0.25">
      <c r="A49" s="8"/>
      <c r="B49" s="50"/>
      <c r="C49" s="50"/>
      <c r="D49" s="50"/>
      <c r="E49" s="50"/>
      <c r="F49" s="50"/>
      <c r="G49" s="50"/>
      <c r="H49" s="8"/>
    </row>
    <row r="50" spans="1:8" x14ac:dyDescent="0.25">
      <c r="A50" s="8"/>
      <c r="B50" s="50"/>
      <c r="C50" s="50"/>
      <c r="D50" s="50"/>
      <c r="E50" s="50"/>
      <c r="F50" s="50"/>
      <c r="G50" s="50"/>
      <c r="H50" s="8"/>
    </row>
    <row r="51" spans="1:8" x14ac:dyDescent="0.25">
      <c r="A51" s="8"/>
      <c r="B51" s="50"/>
      <c r="C51" s="50"/>
      <c r="D51" s="50"/>
      <c r="E51" s="50"/>
      <c r="F51" s="50"/>
      <c r="G51" s="50"/>
      <c r="H51" s="8"/>
    </row>
    <row r="52" spans="1:8" x14ac:dyDescent="0.25">
      <c r="A52" s="8"/>
      <c r="B52" s="50"/>
      <c r="C52" s="50"/>
      <c r="D52" s="50"/>
      <c r="E52" s="50"/>
      <c r="F52" s="50"/>
      <c r="G52" s="50"/>
      <c r="H52" s="8"/>
    </row>
  </sheetData>
  <mergeCells count="12">
    <mergeCell ref="B47:G52"/>
    <mergeCell ref="A36:H37"/>
    <mergeCell ref="A39:H39"/>
    <mergeCell ref="A12:H12"/>
    <mergeCell ref="A16:H16"/>
    <mergeCell ref="A23:H23"/>
    <mergeCell ref="A27:H27"/>
    <mergeCell ref="A30:H30"/>
    <mergeCell ref="A19:H19"/>
    <mergeCell ref="A14:G14"/>
    <mergeCell ref="A24:G24"/>
    <mergeCell ref="A35:G35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2025-08-31T19:07:19Z</cp:lastPrinted>
  <dcterms:created xsi:type="dcterms:W3CDTF">2021-11-02T15:18:42Z</dcterms:created>
  <dcterms:modified xsi:type="dcterms:W3CDTF">2025-11-02T20:14:19Z</dcterms:modified>
</cp:coreProperties>
</file>