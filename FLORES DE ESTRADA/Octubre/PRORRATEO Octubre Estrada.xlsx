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Octubre\"/>
    </mc:Choice>
  </mc:AlternateContent>
  <xr:revisionPtr revIDLastSave="0" documentId="13_ncr:1_{D7154721-6911-4BF3-9027-39BD1AE93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11" i="1" l="1"/>
  <c r="G20" i="1" l="1"/>
  <c r="G19" i="1"/>
  <c r="G15" i="1"/>
  <c r="G30" i="1" l="1"/>
  <c r="G13" i="1" l="1"/>
  <c r="P13" i="1" s="1"/>
  <c r="G32" i="1" l="1"/>
  <c r="G18" i="1" l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<sst xmlns="http://schemas.openxmlformats.org/spreadsheetml/2006/main" count="142" uniqueCount="81">
  <si>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</si>
  <si>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</si>
  <si>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</si>
  <si>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</si>
  <si>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</si>
  <si>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</si>
  <si>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</si>
  <si>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</si>
  <si>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</si>
  <si>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</si>
  <si>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</si>
  <si>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</si>
  <si>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</si>
  <si>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</si>
  <si>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</si>
  <si>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</si>
  <si>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</si>
  <si>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</si>
  <si>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</si>
  <si>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</si>
  <si>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</si>
  <si>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</si>
  <si>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</si>
  <si>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</si>
  <si>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</si>
  <si>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</si>
  <si>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</si>
  <si>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</si>
  <si>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</si>
  <si>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</si>
  <si>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</si>
  <si>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</si>
  <si>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</si>
  <si>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</si>
  <si>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</si>
  <si>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</si>
  <si>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</si>
  <si>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</si>
  <si>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</si>
  <si>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</si>
  <si>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</si>
  <si>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</si>
  <si>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</si>
  <si>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</si>
  <si>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</si>
  <si>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</si>
  <si>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</si>
  <si>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</si>
  <si>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</si>
  <si>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</si>
  <si>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</si>
  <si>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</si>
  <si>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</si>
  <si>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</si>
  <si>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</si>
  <si>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</si>
  <si>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</si>
  <si>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</si>
  <si>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</si>
  <si>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</si>
  <si>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</si>
  <si>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</si>
  <si>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</si>
  <si>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</si>
  <si>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</si>
  <si>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</si>
  <si>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</si>
  <si>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</si>
  <si>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</si>
  <si>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</si>
  <si>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</si>
  <si>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</si>
  <si>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</si>
  <si>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</si>
  <si>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</si>
  <si>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</si>
  <si>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</si>
  <si>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</si>
  <si>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>PAWLAK, MARCOS</t>
  </si>
  <si>
    <t xml:space="preserve">Antonella </t>
  </si>
  <si>
    <t>EXPENSAS - VENCIMIENTO 14/11  LIQUIDACION :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</si>
</sst>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4" fontId="0" fillId="0" borderId="1" xfId="2" applyNumberFormat="1" applyFont="1" applyBorder="1"/>
    <xf numFmtId="164" fontId="0" fillId="0" borderId="0" xfId="2" applyNumberFormat="1" applyFont="1"/>
    <xf numFmtId="164" fontId="0" fillId="0" borderId="0" xfId="2" applyNumberFormat="1" applyFont="1" applyBorder="1"/>
    <xf numFmtId="44" fontId="0" fillId="0" borderId="1" xfId="2" applyFon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4" fontId="0" fillId="0" borderId="9" xfId="2" applyFont="1" applyBorder="1"/>
    <xf numFmtId="0" fontId="0" fillId="0" borderId="9" xfId="0" applyBorder="1"/>
    <xf numFmtId="164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4" fontId="2" fillId="3" borderId="0" xfId="2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/>
    <xf numFmtId="9" fontId="0" fillId="0" borderId="9" xfId="4" applyFont="1" applyBorder="1"/>
    <xf numFmtId="44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44" fontId="2" fillId="0" borderId="0" xfId="2" applyFont="1"/>
    <xf numFmtId="44" fontId="0" fillId="0" borderId="7" xfId="2" applyFont="1" applyBorder="1"/>
    <xf numFmtId="44" fontId="7" fillId="2" borderId="1" xfId="2" applyFont="1" applyFill="1" applyBorder="1"/>
    <xf numFmtId="44" fontId="0" fillId="0" borderId="7" xfId="2" applyFont="1" applyBorder="1" applyAlignment="1">
      <alignment horizontal="left"/>
    </xf>
    <xf numFmtId="44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8" fillId="2" borderId="1" xfId="1" applyNumberFormat="1" applyFont="1" applyFill="1" applyBorder="1"/>
    <xf numFmtId="44" fontId="8" fillId="2" borderId="1" xfId="2" applyFont="1" applyFill="1" applyBorder="1"/>
    <xf numFmtId="164" fontId="8" fillId="2" borderId="1" xfId="2" applyNumberFormat="1" applyFont="1" applyFill="1" applyBorder="1"/>
    <xf numFmtId="44" fontId="8" fillId="2" borderId="1" xfId="0" applyNumberFormat="1" applyFont="1" applyFill="1" applyBorder="1"/>
    <xf numFmtId="0" fontId="0" fillId="3" borderId="1" xfId="0" applyFill="1" applyBorder="1"/>
    <xf numFmtId="8" fontId="10" fillId="3" borderId="14" xfId="0" applyNumberFormat="1" applyFont="1" applyFill="1" applyBorder="1" applyAlignment="1">
      <alignment horizontal="right"/>
    </xf>
    <xf numFmtId="44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8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4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4" fontId="2" fillId="0" borderId="0" xfId="2" applyNumberFormat="1" applyFont="1" applyBorder="1" applyAlignment="1"/>
    <xf numFmtId="0" fontId="0" fillId="3" borderId="0" xfId="0" applyFill="1"/>
    <xf numFmtId="44" fontId="9" fillId="0" borderId="1" xfId="2" applyFont="1" applyBorder="1"/>
    <xf numFmtId="164" fontId="15" fillId="2" borderId="1" xfId="2" applyNumberFormat="1" applyFont="1" applyFill="1" applyBorder="1"/>
    <xf numFmtId="164" fontId="9" fillId="3" borderId="1" xfId="2" applyNumberFormat="1" applyFont="1" applyFill="1" applyBorder="1"/>
    <xf numFmtId="0" fontId="0" fillId="3" borderId="1" xfId="0" applyFill="1" applyBorder="1" applyAlignment="1">
      <alignment horizontal="center"/>
    </xf>
    <xf numFmtId="0" fontId="13" fillId="3" borderId="1" xfId="0" applyFont="1" applyFill="1" applyBorder="1"/>
    <xf numFmtId="164" fontId="0" fillId="0" borderId="0" xfId="0" applyNumberForma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164" fontId="9" fillId="0" borderId="0" xfId="2" applyNumberFormat="1" applyFont="1"/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B1" zoomScaleNormal="100" workbookViewId="0">
      <selection activeCell="G35" sqref="G35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5.140625" style="6" customWidth="1"/>
    <col min="9" max="9" width="8.42578125" style="6" hidden="1" customWidth="1"/>
    <col min="10" max="10" width="14.85546875" customWidth="1"/>
    <col min="11" max="11" width="12.140625" customWidth="1"/>
    <col min="12" max="12" width="14" customWidth="1"/>
    <col min="13" max="13" width="11" customWidth="1"/>
    <col min="14" max="14" width="12.85546875" bestFit="1" customWidth="1"/>
  </cols>
  <sheetData>
    <row r="1" spans="1:16" ht="26.25" customHeight="1" x14ac:dyDescent="0.25">
      <c r="A1" s="69" t="s">
        <v>80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6" x14ac:dyDescent="0.25">
      <c r="A2" s="13"/>
      <c r="F2" s="7"/>
      <c r="G2" s="7"/>
      <c r="H2" s="7"/>
      <c r="I2" s="25" t="s">
        <v>55</v>
      </c>
      <c r="N2" s="12"/>
    </row>
    <row r="3" spans="1:16" x14ac:dyDescent="0.25">
      <c r="A3" s="14" t="s">
        <v>0</v>
      </c>
      <c r="F3" s="7"/>
      <c r="G3" s="7"/>
      <c r="I3" s="58" t="s">
        <v>71</v>
      </c>
      <c r="J3" s="57"/>
      <c r="N3" s="12"/>
    </row>
    <row r="4" spans="1:16" x14ac:dyDescent="0.25">
      <c r="A4" s="14" t="s">
        <v>1</v>
      </c>
      <c r="F4" s="7"/>
      <c r="G4" s="7"/>
      <c r="I4" s="15" t="s">
        <v>46</v>
      </c>
      <c r="J4" s="67">
        <v>1153202676</v>
      </c>
      <c r="K4" s="67"/>
      <c r="L4" s="67"/>
      <c r="M4" s="67"/>
      <c r="N4" s="68"/>
    </row>
    <row r="5" spans="1:16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6" x14ac:dyDescent="0.25">
      <c r="A6" s="14"/>
      <c r="F6" s="7"/>
      <c r="G6" s="7"/>
      <c r="H6" s="7"/>
      <c r="I6" s="7"/>
      <c r="N6" s="12"/>
    </row>
    <row r="7" spans="1:16" x14ac:dyDescent="0.25">
      <c r="A7" s="14"/>
      <c r="B7" s="29" t="s">
        <v>56</v>
      </c>
      <c r="C7" s="50">
        <v>1400000</v>
      </c>
      <c r="D7" s="53"/>
      <c r="F7" s="7"/>
      <c r="G7" s="7"/>
      <c r="H7" s="7"/>
      <c r="I7" s="7"/>
      <c r="N7" s="12"/>
    </row>
    <row r="8" spans="1:16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6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6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6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68600.000000000015</v>
      </c>
      <c r="G11" s="62">
        <f>F11</f>
        <v>68600.000000000015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68600.000000000015</v>
      </c>
      <c r="M11" s="5">
        <f>C8*E11/100</f>
        <v>0</v>
      </c>
      <c r="N11" s="44">
        <f>K11+L11+M11</f>
        <v>68600.000000000015</v>
      </c>
    </row>
    <row r="12" spans="1:16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1086296.6053298286</v>
      </c>
      <c r="G12" s="62"/>
      <c r="H12" s="8">
        <f t="shared" ref="H12:H34" si="0">F12-G12</f>
        <v>1086296.6053298286</v>
      </c>
      <c r="I12" s="5">
        <v>0</v>
      </c>
      <c r="J12" s="9">
        <f t="shared" ref="J12:J34" si="1">H12*8.8%</f>
        <v>95594.101269024919</v>
      </c>
      <c r="K12" s="44">
        <f>H12+I12+J12</f>
        <v>1181890.7065988535</v>
      </c>
      <c r="L12" s="5">
        <f>C7*E12/100</f>
        <v>54460</v>
      </c>
      <c r="M12" s="5">
        <f>C8*E12/100</f>
        <v>0</v>
      </c>
      <c r="N12" s="44">
        <f>K12+L12+M12</f>
        <v>1236350.7065988535</v>
      </c>
    </row>
    <row r="13" spans="1:16" x14ac:dyDescent="0.25">
      <c r="A13" s="11">
        <v>3</v>
      </c>
      <c r="B13" s="11" t="s">
        <v>14</v>
      </c>
      <c r="C13" s="55" t="s">
        <v>7</v>
      </c>
      <c r="D13" s="55" t="s">
        <v>79</v>
      </c>
      <c r="E13" s="3">
        <v>4</v>
      </c>
      <c r="F13" s="5">
        <v>56000</v>
      </c>
      <c r="G13" s="62">
        <f>F13</f>
        <v>56000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56000</v>
      </c>
      <c r="M13" s="5">
        <f>C8*E13/100</f>
        <v>0</v>
      </c>
      <c r="N13" s="44">
        <f>K13+L13+M13</f>
        <v>56000</v>
      </c>
      <c r="P13" s="65">
        <f>G13+G30</f>
        <v>72521</v>
      </c>
    </row>
    <row r="14" spans="1:16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68600.000000000015</v>
      </c>
      <c r="G14" s="62">
        <f t="shared" ref="G14" si="2">F14</f>
        <v>68600.000000000015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68600.000000000015</v>
      </c>
      <c r="M14" s="5">
        <f>C8*E14/100</f>
        <v>0</v>
      </c>
      <c r="N14" s="44">
        <f t="shared" ref="N14:N24" si="3">K14+L14+M14</f>
        <v>68600.000000000015</v>
      </c>
    </row>
    <row r="15" spans="1:16" x14ac:dyDescent="0.25">
      <c r="A15" s="11">
        <v>5</v>
      </c>
      <c r="B15" s="63" t="s">
        <v>15</v>
      </c>
      <c r="C15" s="64" t="s">
        <v>8</v>
      </c>
      <c r="D15" s="55" t="s">
        <v>73</v>
      </c>
      <c r="E15" s="1">
        <v>3.89</v>
      </c>
      <c r="F15" s="5">
        <v>54460</v>
      </c>
      <c r="G15" s="62">
        <f>F15</f>
        <v>54460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54460</v>
      </c>
      <c r="M15" s="5">
        <f>C8*E15/100</f>
        <v>0</v>
      </c>
      <c r="N15" s="44">
        <f>K15+L15+M15</f>
        <v>54460</v>
      </c>
      <c r="P15" s="59"/>
    </row>
    <row r="16" spans="1:16" x14ac:dyDescent="0.25">
      <c r="A16" s="11">
        <v>6</v>
      </c>
      <c r="B16" s="11" t="s">
        <v>16</v>
      </c>
      <c r="C16" s="55" t="s">
        <v>9</v>
      </c>
      <c r="D16" s="55"/>
      <c r="E16" s="3">
        <v>4</v>
      </c>
      <c r="F16" s="5">
        <v>119609.0119221248</v>
      </c>
      <c r="G16" s="62">
        <v>56000</v>
      </c>
      <c r="H16" s="8">
        <f t="shared" si="0"/>
        <v>63609.011922124802</v>
      </c>
      <c r="I16" s="5">
        <v>0</v>
      </c>
      <c r="J16" s="9">
        <f t="shared" si="1"/>
        <v>5597.5930491469835</v>
      </c>
      <c r="K16" s="44">
        <f>H16+J16+I16</f>
        <v>69206.60497127178</v>
      </c>
      <c r="L16" s="5">
        <f>C7*E16/100</f>
        <v>56000</v>
      </c>
      <c r="M16" s="5">
        <f>C8*E16/100</f>
        <v>0</v>
      </c>
      <c r="N16" s="44">
        <f t="shared" si="3"/>
        <v>125206.60497127178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68600.000000000015</v>
      </c>
      <c r="G17" s="62">
        <f t="shared" ref="G17:G21" si="4">F17</f>
        <v>68600.000000000015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68600.000000000015</v>
      </c>
      <c r="M17" s="5">
        <f>C8*E17/100</f>
        <v>0</v>
      </c>
      <c r="N17" s="44">
        <f>K17+L17+M17</f>
        <v>68600.000000000015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54460</v>
      </c>
      <c r="G18" s="62">
        <f t="shared" si="4"/>
        <v>54460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54460</v>
      </c>
      <c r="M18" s="5">
        <f>C8*E18/100</f>
        <v>0</v>
      </c>
      <c r="N18" s="44">
        <f t="shared" si="3"/>
        <v>54460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56000</v>
      </c>
      <c r="G19" s="62">
        <f t="shared" si="4"/>
        <v>56000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56000</v>
      </c>
      <c r="M19" s="5">
        <f>C8*E19/100</f>
        <v>0</v>
      </c>
      <c r="N19" s="44">
        <f t="shared" si="3"/>
        <v>56000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177240</v>
      </c>
      <c r="G20" s="62">
        <f>F20</f>
        <v>177240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177240</v>
      </c>
      <c r="M20" s="5">
        <f>C8*E20/100</f>
        <v>0</v>
      </c>
      <c r="N20" s="44">
        <f>K20+L20+M20</f>
        <v>177240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108500</v>
      </c>
      <c r="G21" s="73">
        <f t="shared" si="4"/>
        <v>108500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108500</v>
      </c>
      <c r="M21" s="5">
        <f>C8*E21/100</f>
        <v>0</v>
      </c>
      <c r="N21" s="44">
        <f t="shared" si="3"/>
        <v>108500</v>
      </c>
    </row>
    <row r="22" spans="1:14" x14ac:dyDescent="0.25">
      <c r="A22" s="11">
        <v>12</v>
      </c>
      <c r="B22" s="11" t="s">
        <v>24</v>
      </c>
      <c r="C22" s="55" t="s">
        <v>78</v>
      </c>
      <c r="D22" s="55"/>
      <c r="E22" s="1">
        <v>7.51</v>
      </c>
      <c r="F22" s="5">
        <v>105140</v>
      </c>
      <c r="G22" s="62"/>
      <c r="H22" s="8">
        <f t="shared" si="0"/>
        <v>105140</v>
      </c>
      <c r="I22" s="5">
        <v>0</v>
      </c>
      <c r="J22" s="9">
        <f t="shared" si="1"/>
        <v>9252.3200000000015</v>
      </c>
      <c r="K22" s="44">
        <f t="shared" ref="K22:K24" si="6">H22+J22+I22</f>
        <v>114392.32000000001</v>
      </c>
      <c r="L22" s="5">
        <f>C7*E22/100</f>
        <v>105140</v>
      </c>
      <c r="M22" s="5">
        <f>C8*E22/100</f>
        <v>0</v>
      </c>
      <c r="N22" s="44">
        <f t="shared" si="3"/>
        <v>219532.32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307569.36428821005</v>
      </c>
      <c r="G23" s="62"/>
      <c r="H23" s="8">
        <f t="shared" si="0"/>
        <v>307569.36428821005</v>
      </c>
      <c r="I23" s="5">
        <v>0</v>
      </c>
      <c r="J23" s="9">
        <f t="shared" si="1"/>
        <v>27066.104057362489</v>
      </c>
      <c r="K23" s="44">
        <f>H23+J23+I23</f>
        <v>334635.46834557253</v>
      </c>
      <c r="L23" s="5">
        <f>C7*E23/100</f>
        <v>62300</v>
      </c>
      <c r="M23" s="5">
        <f>C8*E23/100</f>
        <v>0</v>
      </c>
      <c r="N23" s="44">
        <f>K23+L23+M23</f>
        <v>396935.46834557253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86380</v>
      </c>
      <c r="G24" s="62">
        <f>F24</f>
        <v>86380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86380</v>
      </c>
      <c r="M24" s="5">
        <f>C8*E24/100</f>
        <v>0</v>
      </c>
      <c r="N24" s="44">
        <f t="shared" si="3"/>
        <v>86380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534946.64633273333</v>
      </c>
      <c r="G25" s="62">
        <v>62301</v>
      </c>
      <c r="H25" s="8">
        <f t="shared" si="0"/>
        <v>472645.64633273333</v>
      </c>
      <c r="I25" s="5">
        <v>0</v>
      </c>
      <c r="J25" s="9">
        <f t="shared" si="1"/>
        <v>41592.816877280537</v>
      </c>
      <c r="K25" s="44">
        <f>H25+J25+I25</f>
        <v>514238.46321001387</v>
      </c>
      <c r="L25" s="5">
        <f>C7*E25/100+1</f>
        <v>62301</v>
      </c>
      <c r="M25" s="5">
        <f>C8*E25/100</f>
        <v>0</v>
      </c>
      <c r="N25" s="44">
        <f>K25+L25+M25</f>
        <v>576539.46321001393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1413768.5314904796</v>
      </c>
      <c r="G26" s="62">
        <f>189300-110707</f>
        <v>78593</v>
      </c>
      <c r="H26" s="8">
        <f t="shared" si="0"/>
        <v>1335175.5314904796</v>
      </c>
      <c r="I26" s="5">
        <v>0</v>
      </c>
      <c r="J26" s="9">
        <f t="shared" si="1"/>
        <v>117495.44677116221</v>
      </c>
      <c r="K26" s="44">
        <f>H26+J26+I26</f>
        <v>1452670.9782616417</v>
      </c>
      <c r="L26" s="5">
        <f>C7*E26/100+1</f>
        <v>128661</v>
      </c>
      <c r="M26" s="5">
        <f>C8*E26/100</f>
        <v>0</v>
      </c>
      <c r="N26" s="44">
        <f>K26+L26+M26</f>
        <v>1581331.9782616417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16521</v>
      </c>
      <c r="G27" s="62">
        <f>F27</f>
        <v>16521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16521</v>
      </c>
      <c r="M27" s="5">
        <f>C8*E27/100</f>
        <v>0</v>
      </c>
      <c r="N27" s="44">
        <f>K27+L27+M27</f>
        <v>16521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157265.70583423419</v>
      </c>
      <c r="G28" s="62"/>
      <c r="H28" s="8">
        <f t="shared" si="0"/>
        <v>157265.70583423419</v>
      </c>
      <c r="I28" s="5">
        <v>0</v>
      </c>
      <c r="J28" s="9">
        <f t="shared" si="1"/>
        <v>13839.38211341261</v>
      </c>
      <c r="K28" s="44">
        <f t="shared" si="7"/>
        <v>171105.0879476468</v>
      </c>
      <c r="L28" s="5">
        <f>C7*E28/100+1</f>
        <v>16521</v>
      </c>
      <c r="M28" s="5">
        <f>C8*E28/100</f>
        <v>0</v>
      </c>
      <c r="N28" s="44">
        <f t="shared" ref="N28:N34" si="8">K28+L28+M28</f>
        <v>187626.0879476468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157265.70583423419</v>
      </c>
      <c r="G29" s="62"/>
      <c r="H29" s="8">
        <f t="shared" si="0"/>
        <v>157265.70583423419</v>
      </c>
      <c r="I29" s="5">
        <v>0</v>
      </c>
      <c r="J29" s="9">
        <f t="shared" si="1"/>
        <v>13839.38211341261</v>
      </c>
      <c r="K29" s="44">
        <f t="shared" si="7"/>
        <v>171105.0879476468</v>
      </c>
      <c r="L29" s="5">
        <f>C7*E29/100+1</f>
        <v>16521</v>
      </c>
      <c r="M29" s="5">
        <f>C8*E29/100</f>
        <v>0</v>
      </c>
      <c r="N29" s="44">
        <f t="shared" si="8"/>
        <v>187626.0879476468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16521</v>
      </c>
      <c r="G30" s="62">
        <f>F30</f>
        <v>16521</v>
      </c>
      <c r="H30" s="60">
        <f t="shared" si="0"/>
        <v>0</v>
      </c>
      <c r="I30" s="5">
        <v>0</v>
      </c>
      <c r="J30" s="9">
        <f t="shared" si="1"/>
        <v>0</v>
      </c>
      <c r="K30" s="44">
        <f t="shared" si="7"/>
        <v>0</v>
      </c>
      <c r="L30" s="5">
        <f>C7*E30/100+1</f>
        <v>16521</v>
      </c>
      <c r="M30" s="5">
        <f>C8*E30/100</f>
        <v>0</v>
      </c>
      <c r="N30" s="44">
        <f>K30+L30+M30</f>
        <v>16521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16521</v>
      </c>
      <c r="G31" s="62">
        <f t="shared" ref="G31:G33" si="9">F31</f>
        <v>16521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16521</v>
      </c>
      <c r="M31" s="5">
        <f>C8*E31/100</f>
        <v>0</v>
      </c>
      <c r="N31" s="44">
        <f>K31+L31+M31</f>
        <v>16521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16521</v>
      </c>
      <c r="G32" s="62">
        <f>F32</f>
        <v>16521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16521</v>
      </c>
      <c r="M32" s="5">
        <f>C8*E32/100</f>
        <v>0</v>
      </c>
      <c r="N32" s="44">
        <f t="shared" si="8"/>
        <v>16521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16521</v>
      </c>
      <c r="G33" s="62">
        <f t="shared" si="9"/>
        <v>16521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16521</v>
      </c>
      <c r="M33" s="5">
        <f>C8*E33/100</f>
        <v>0</v>
      </c>
      <c r="N33" s="44">
        <f>K33+L33+M33</f>
        <v>16521</v>
      </c>
      <c r="O33" s="59"/>
    </row>
    <row r="34" spans="1:15" x14ac:dyDescent="0.25">
      <c r="A34" s="11">
        <v>24</v>
      </c>
      <c r="B34" s="11" t="s">
        <v>41</v>
      </c>
      <c r="C34" s="55" t="s">
        <v>78</v>
      </c>
      <c r="D34" s="55"/>
      <c r="E34" s="1">
        <v>1.18</v>
      </c>
      <c r="F34" s="5">
        <v>16521</v>
      </c>
      <c r="G34" s="62"/>
      <c r="H34" s="8">
        <f t="shared" si="0"/>
        <v>16521</v>
      </c>
      <c r="I34" s="5">
        <v>0</v>
      </c>
      <c r="J34" s="9">
        <f t="shared" si="1"/>
        <v>1453.8480000000002</v>
      </c>
      <c r="K34" s="44">
        <f t="shared" si="7"/>
        <v>17974.848000000002</v>
      </c>
      <c r="L34" s="5">
        <f>C7*E34/100+1</f>
        <v>16521</v>
      </c>
      <c r="M34" s="5">
        <f>C8*E34/100</f>
        <v>0</v>
      </c>
      <c r="N34" s="44">
        <f t="shared" si="8"/>
        <v>34495.847999999998</v>
      </c>
    </row>
    <row r="35" spans="1:15" s="4" customFormat="1" ht="21" x14ac:dyDescent="0.35">
      <c r="A35" s="66" t="s">
        <v>42</v>
      </c>
      <c r="B35" s="66"/>
      <c r="C35" s="66"/>
      <c r="D35" s="52"/>
      <c r="E35" s="45">
        <f>SUM(E11:E34)</f>
        <v>99.990000000000066</v>
      </c>
      <c r="F35" s="46">
        <f>SUM(F11:F34)</f>
        <v>4779827.5710318442</v>
      </c>
      <c r="G35" s="61">
        <f>SUM(G11:G34)</f>
        <v>1078339</v>
      </c>
      <c r="H35" s="47">
        <f>SUM(H11:H34)</f>
        <v>3701488.5710318447</v>
      </c>
      <c r="I35" s="47">
        <f>SUM(I12:I34)</f>
        <v>0</v>
      </c>
      <c r="J35" s="48">
        <f>SUM(J11:J34)</f>
        <v>325730.99425080232</v>
      </c>
      <c r="K35" s="48"/>
      <c r="L35" s="47">
        <f>SUM(L11:L34)</f>
        <v>1399870</v>
      </c>
      <c r="M35" s="51">
        <f>SUM(M11:M34)</f>
        <v>0</v>
      </c>
      <c r="N35" s="56">
        <f>SUM(N11:N34)</f>
        <v>5427089.5652826475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2" t="s">
        <v>42</v>
      </c>
      <c r="B29" s="72"/>
      <c r="C29" s="72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2025-07-29T22:18:30Z</cp:lastPrinted>
  <dcterms:created xsi:type="dcterms:W3CDTF">2021-10-25T13:53:39Z</dcterms:created>
  <dcterms:modified xsi:type="dcterms:W3CDTF">2025-11-05T19:42:55Z</dcterms:modified>
</cp:coreProperties>
</file>