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Mayo\"/>
    </mc:Choice>
  </mc:AlternateContent>
  <xr:revisionPtr revIDLastSave="0" documentId="13_ncr:1_{A23BAE0C-CC29-4A6B-B71E-3827556D7DE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Print_Area" localSheetId="0">Hoja1!$A$1:$H$56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6" i="1" s="1"/>
  <c r="H15" i="1" l="1"/>
  <c r="H38" i="1" l="1"/>
  <c r="H18" i="1" l="1"/>
  <c r="H22" i="1" l="1"/>
  <c r="H32" i="1" s="1"/>
  <c r="H46" i="1" s="1"/>
  <c r="H34" i="1" l="1"/>
  <c r="H48" i="1"/>
</calcChain>
</file>

<file path=xl/sharedStrings.xml><?xml version="1.0" encoding="utf-8"?>
<sst xmlns="http://schemas.openxmlformats.org/spreadsheetml/2006/main" count="47" uniqueCount="45">
  <si>
    <t>Domicilio:</t>
  </si>
  <si>
    <t>Flores de Estrada Nº 5065</t>
  </si>
  <si>
    <t>Cel.</t>
  </si>
  <si>
    <t>e-mail:</t>
  </si>
  <si>
    <t>floresdestrada5065@gmail.com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</si>
  <si>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</si>
  <si>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</si>
  <si>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</si>
  <si>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</si>
  <si>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</si>
  <si>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</si>
  <si>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</si>
  <si>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</si>
  <si>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</si>
  <si>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</si>
  <si>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</si>
  <si>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</si>
  <si>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</si>
  <si>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</si>
  <si>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</si>
  <si>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</si>
  <si>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</si>
  <si>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</si>
  <si>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</si>
  <si>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1,2,4,5,6;</t>
  </si>
  <si>
    <t>TOTAL GASTOS EXTRAORD</t>
  </si>
  <si>
    <t>MP 1148</t>
  </si>
  <si>
    <t>Domicilio -con cita previa : Doctor Melo 2958 - 8vo Piso</t>
  </si>
  <si>
    <t>SUELDO SRA. - Claudia</t>
  </si>
  <si>
    <t>Mercantil Andina - Poliza Nº 001172541</t>
  </si>
  <si>
    <t>Seguro Sra. Claudia - La Holando - Numero de Poliza 599683</t>
  </si>
  <si>
    <t>Punitorios mal cobrados</t>
  </si>
  <si>
    <t>TOTAL GASTOS A PRORRATEAR (INCLUYE PREVISION)</t>
  </si>
  <si>
    <t>TSG</t>
  </si>
  <si>
    <t xml:space="preserve">Ingreso pago por expensas </t>
  </si>
  <si>
    <t xml:space="preserve">PREVISION ORDINARIA </t>
  </si>
  <si>
    <t>AUMENTARON LOS HONORARIOS EN ABRI 2025</t>
  </si>
  <si>
    <t>AYSA - MAYO 2025</t>
  </si>
  <si>
    <t>ASCENSORES Premec S.R.L. - Mantenimiento de Ascensor MAYO</t>
  </si>
  <si>
    <t>Administraciòn MAYO 2025:</t>
  </si>
  <si>
    <t>Egresos gastos del mes - MAYO ORDINARIO</t>
  </si>
  <si>
    <t>Egresos gastos del mes - MAYO EXTRAORDINARIO</t>
  </si>
  <si>
    <t>PERIODO: MAYO - Vto. 10/06/2025</t>
  </si>
  <si>
    <t>Electrocerradura - comprada por Alcoleas Christian e instalacion</t>
  </si>
  <si>
    <t>CAJA NO REAL, YA QUE DE ESTE FONDO SE PAGA EDESUR DE LAS UNIDADES FUNCIONALES ATRASADAS. QUIEN SE ATRASE CON EDESUR TENDRA PUNITORIOS.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</si>
</sst>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#,##0.00_ ;[Red]\-#,##0.0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1"/>
      <name val="Calibri"/>
      <family val="2"/>
      <scheme val="minor"/>
    </font>
    <font>
      <sz val="14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5">
    <xf numFmtId="0" fontId="0" fillId="0" borderId="0" xfId="0"/>
    <xf numFmtId="0" fontId="0" fillId="5" borderId="0" xfId="0" applyFill="1"/>
    <xf numFmtId="165" fontId="0" fillId="0" borderId="0" xfId="0" applyNumberFormat="1"/>
    <xf numFmtId="0" fontId="3" fillId="0" borderId="0" xfId="0" applyFont="1"/>
    <xf numFmtId="0" fontId="4" fillId="0" borderId="11" xfId="0" applyFont="1" applyBorder="1"/>
    <xf numFmtId="0" fontId="4" fillId="0" borderId="2" xfId="0" applyFont="1" applyBorder="1"/>
    <xf numFmtId="0" fontId="4" fillId="0" borderId="12" xfId="0" applyFont="1" applyBorder="1"/>
    <xf numFmtId="0" fontId="4" fillId="0" borderId="10" xfId="0" applyFont="1" applyBorder="1"/>
    <xf numFmtId="0" fontId="6" fillId="2" borderId="4" xfId="0" applyFont="1" applyFill="1" applyBorder="1"/>
    <xf numFmtId="0" fontId="6" fillId="2" borderId="5" xfId="0" applyFont="1" applyFill="1" applyBorder="1"/>
    <xf numFmtId="165" fontId="6" fillId="2" borderId="6" xfId="0" applyNumberFormat="1" applyFont="1" applyFill="1" applyBorder="1"/>
    <xf numFmtId="0" fontId="4" fillId="0" borderId="0" xfId="0" applyFont="1"/>
    <xf numFmtId="0" fontId="7" fillId="5" borderId="4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166" fontId="4" fillId="0" borderId="3" xfId="1" applyFont="1" applyBorder="1"/>
    <xf numFmtId="165" fontId="4" fillId="0" borderId="3" xfId="1" applyNumberFormat="1" applyFont="1" applyBorder="1"/>
    <xf numFmtId="0" fontId="8" fillId="6" borderId="4" xfId="0" applyFont="1" applyFill="1" applyBorder="1"/>
    <xf numFmtId="0" fontId="7" fillId="6" borderId="5" xfId="0" applyFont="1" applyFill="1" applyBorder="1"/>
    <xf numFmtId="165" fontId="7" fillId="5" borderId="6" xfId="1" applyNumberFormat="1" applyFont="1" applyFill="1" applyBorder="1" applyAlignment="1">
      <alignment horizontal="center"/>
    </xf>
    <xf numFmtId="0" fontId="6" fillId="5" borderId="0" xfId="0" applyFont="1" applyFill="1"/>
    <xf numFmtId="165" fontId="6" fillId="5" borderId="0" xfId="0" applyNumberFormat="1" applyFont="1" applyFill="1"/>
    <xf numFmtId="0" fontId="6" fillId="2" borderId="13" xfId="0" applyFont="1" applyFill="1" applyBorder="1"/>
    <xf numFmtId="0" fontId="6" fillId="2" borderId="14" xfId="0" applyFont="1" applyFill="1" applyBorder="1"/>
    <xf numFmtId="165" fontId="6" fillId="2" borderId="15" xfId="0" applyNumberFormat="1" applyFont="1" applyFill="1" applyBorder="1"/>
    <xf numFmtId="0" fontId="6" fillId="5" borderId="3" xfId="0" applyFont="1" applyFill="1" applyBorder="1"/>
    <xf numFmtId="165" fontId="5" fillId="2" borderId="15" xfId="0" applyNumberFormat="1" applyFont="1" applyFill="1" applyBorder="1"/>
    <xf numFmtId="165" fontId="5" fillId="2" borderId="0" xfId="0" applyNumberFormat="1" applyFont="1" applyFill="1"/>
    <xf numFmtId="165" fontId="7" fillId="6" borderId="3" xfId="1" applyNumberFormat="1" applyFont="1" applyFill="1" applyBorder="1"/>
    <xf numFmtId="164" fontId="4" fillId="5" borderId="3" xfId="1" applyNumberFormat="1" applyFont="1" applyFill="1" applyBorder="1"/>
    <xf numFmtId="164" fontId="0" fillId="0" borderId="0" xfId="0" applyNumberFormat="1"/>
    <xf numFmtId="166" fontId="0" fillId="0" borderId="0" xfId="0" applyNumberFormat="1"/>
    <xf numFmtId="165" fontId="3" fillId="0" borderId="0" xfId="0" applyNumberFormat="1" applyFont="1"/>
    <xf numFmtId="0" fontId="4" fillId="0" borderId="9" xfId="0" applyFont="1" applyBorder="1"/>
    <xf numFmtId="167" fontId="3" fillId="0" borderId="0" xfId="0" applyNumberFormat="1" applyFont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5" fillId="0" borderId="0" xfId="0" applyFont="1"/>
    <xf numFmtId="0" fontId="9" fillId="0" borderId="0" xfId="2" applyFont="1" applyBorder="1"/>
    <xf numFmtId="0" fontId="7" fillId="3" borderId="9" xfId="0" applyFont="1" applyFill="1" applyBorder="1"/>
    <xf numFmtId="0" fontId="7" fillId="3" borderId="0" xfId="0" applyFont="1" applyFill="1"/>
    <xf numFmtId="0" fontId="10" fillId="3" borderId="0" xfId="0" applyFont="1" applyFill="1"/>
    <xf numFmtId="0" fontId="10" fillId="3" borderId="10" xfId="0" applyFont="1" applyFill="1" applyBorder="1"/>
    <xf numFmtId="0" fontId="5" fillId="7" borderId="3" xfId="0" applyFont="1" applyFill="1" applyBorder="1"/>
    <xf numFmtId="0" fontId="7" fillId="7" borderId="3" xfId="0" applyFont="1" applyFill="1" applyBorder="1"/>
    <xf numFmtId="165" fontId="6" fillId="7" borderId="3" xfId="0" applyNumberFormat="1" applyFont="1" applyFill="1" applyBorder="1"/>
    <xf numFmtId="164" fontId="4" fillId="5" borderId="10" xfId="0" applyNumberFormat="1" applyFont="1" applyFill="1" applyBorder="1"/>
    <xf numFmtId="0" fontId="4" fillId="4" borderId="9" xfId="0" applyFont="1" applyFill="1" applyBorder="1"/>
    <xf numFmtId="0" fontId="4" fillId="4" borderId="0" xfId="0" applyFont="1" applyFill="1"/>
    <xf numFmtId="164" fontId="5" fillId="4" borderId="10" xfId="0" applyNumberFormat="1" applyFont="1" applyFill="1" applyBorder="1"/>
    <xf numFmtId="166" fontId="4" fillId="5" borderId="10" xfId="1" applyFont="1" applyFill="1" applyBorder="1"/>
    <xf numFmtId="166" fontId="5" fillId="4" borderId="10" xfId="0" applyNumberFormat="1" applyFont="1" applyFill="1" applyBorder="1"/>
    <xf numFmtId="0" fontId="4" fillId="5" borderId="9" xfId="0" applyFont="1" applyFill="1" applyBorder="1"/>
    <xf numFmtId="0" fontId="4" fillId="5" borderId="0" xfId="0" applyFont="1" applyFill="1"/>
    <xf numFmtId="166" fontId="4" fillId="5" borderId="10" xfId="0" applyNumberFormat="1" applyFont="1" applyFill="1" applyBorder="1"/>
    <xf numFmtId="166" fontId="5" fillId="0" borderId="10" xfId="0" applyNumberFormat="1" applyFont="1" applyBorder="1"/>
    <xf numFmtId="166" fontId="4" fillId="0" borderId="12" xfId="1" applyFont="1" applyBorder="1"/>
    <xf numFmtId="0" fontId="5" fillId="8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9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166" fontId="5" fillId="4" borderId="10" xfId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workbookViewId="0">
      <selection activeCell="H5" sqref="H5"/>
    </sheetView>
  </sheetViews>
  <sheetFormatPr baseColWidth="10" defaultRowHeight="15" x14ac:dyDescent="0.25"/>
  <cols>
    <col min="7" max="7" width="11.7109375" customWidth="1"/>
    <col min="8" max="8" width="19.5703125" bestFit="1" customWidth="1"/>
    <col min="9" max="9" width="14.7109375" bestFit="1" customWidth="1"/>
    <col min="10" max="10" width="13.7109375" bestFit="1" customWidth="1"/>
  </cols>
  <sheetData>
    <row r="1" spans="1:8" x14ac:dyDescent="0.25">
      <c r="A1" s="36"/>
      <c r="B1" s="37"/>
      <c r="C1" s="37"/>
      <c r="D1" s="37"/>
      <c r="E1" s="37"/>
      <c r="F1" s="37"/>
      <c r="G1" s="37"/>
      <c r="H1" s="38"/>
    </row>
    <row r="2" spans="1:8" x14ac:dyDescent="0.25">
      <c r="A2" s="34"/>
      <c r="B2" s="11"/>
      <c r="C2" s="11"/>
      <c r="D2" s="39" t="s">
        <v>0</v>
      </c>
      <c r="E2" s="11" t="s">
        <v>1</v>
      </c>
      <c r="F2" s="11"/>
      <c r="G2" s="11"/>
      <c r="H2" s="7"/>
    </row>
    <row r="3" spans="1:8" x14ac:dyDescent="0.25">
      <c r="A3" s="34"/>
      <c r="B3" s="11"/>
      <c r="C3" s="11"/>
      <c r="D3" s="39" t="s">
        <v>2</v>
      </c>
      <c r="E3" s="11">
        <v>1153202676</v>
      </c>
      <c r="F3" s="11"/>
      <c r="G3" s="11"/>
      <c r="H3" s="7"/>
    </row>
    <row r="4" spans="1:8" x14ac:dyDescent="0.25">
      <c r="A4" s="34"/>
      <c r="B4" s="11"/>
      <c r="C4" s="11"/>
      <c r="D4" s="39" t="s">
        <v>3</v>
      </c>
      <c r="E4" s="40" t="s">
        <v>4</v>
      </c>
      <c r="F4" s="11"/>
      <c r="G4" s="11"/>
      <c r="H4" s="7"/>
    </row>
    <row r="5" spans="1:8" x14ac:dyDescent="0.25">
      <c r="A5" s="34"/>
      <c r="B5" s="11"/>
      <c r="C5" s="11"/>
      <c r="D5" s="39" t="s">
        <v>27</v>
      </c>
      <c r="E5" s="11"/>
      <c r="F5" s="11"/>
      <c r="G5" s="11"/>
      <c r="H5" s="7"/>
    </row>
    <row r="6" spans="1:8" x14ac:dyDescent="0.25">
      <c r="A6" s="34"/>
      <c r="B6" s="11"/>
      <c r="C6" s="11"/>
      <c r="D6" s="11"/>
      <c r="E6" s="11"/>
      <c r="F6" s="11"/>
      <c r="G6" s="11"/>
      <c r="H6" s="7"/>
    </row>
    <row r="7" spans="1:8" ht="18.75" x14ac:dyDescent="0.3">
      <c r="A7" s="41" t="s">
        <v>5</v>
      </c>
      <c r="B7" s="42"/>
      <c r="C7" s="42"/>
      <c r="D7" s="42"/>
      <c r="E7" s="42" t="s">
        <v>42</v>
      </c>
      <c r="F7" s="42"/>
      <c r="G7" s="43"/>
      <c r="H7" s="44"/>
    </row>
    <row r="8" spans="1:8" x14ac:dyDescent="0.25">
      <c r="A8" s="36"/>
      <c r="B8" s="37"/>
      <c r="C8" s="37"/>
      <c r="D8" s="37"/>
      <c r="E8" s="37"/>
      <c r="F8" s="37"/>
      <c r="G8" s="37"/>
      <c r="H8" s="38"/>
    </row>
    <row r="9" spans="1:8" x14ac:dyDescent="0.25">
      <c r="A9" s="34" t="s">
        <v>6</v>
      </c>
      <c r="B9" s="11"/>
      <c r="C9" s="11"/>
      <c r="D9" s="11"/>
      <c r="E9" s="11" t="s">
        <v>7</v>
      </c>
      <c r="F9" s="11"/>
      <c r="G9" s="11"/>
      <c r="H9" s="7"/>
    </row>
    <row r="10" spans="1:8" x14ac:dyDescent="0.25">
      <c r="A10" s="34" t="s">
        <v>8</v>
      </c>
      <c r="B10" s="11" t="s">
        <v>1</v>
      </c>
      <c r="C10" s="11"/>
      <c r="D10" s="11"/>
      <c r="E10" s="11"/>
      <c r="F10" s="11"/>
      <c r="G10" s="11"/>
      <c r="H10" s="7"/>
    </row>
    <row r="11" spans="1:8" x14ac:dyDescent="0.25">
      <c r="A11" s="4"/>
      <c r="B11" s="5"/>
      <c r="C11" s="5"/>
      <c r="D11" s="5"/>
      <c r="E11" s="5"/>
      <c r="F11" s="5"/>
      <c r="G11" s="5"/>
      <c r="H11" s="6"/>
    </row>
    <row r="12" spans="1:8" x14ac:dyDescent="0.25">
      <c r="A12" s="64" t="s">
        <v>15</v>
      </c>
      <c r="B12" s="64"/>
      <c r="C12" s="64"/>
      <c r="D12" s="64"/>
      <c r="E12" s="64"/>
      <c r="F12" s="64"/>
      <c r="G12" s="64"/>
      <c r="H12" s="64"/>
    </row>
    <row r="13" spans="1:8" ht="15.75" customHeight="1" x14ac:dyDescent="0.25">
      <c r="A13" s="34" t="s">
        <v>28</v>
      </c>
      <c r="B13" s="11"/>
      <c r="C13" s="11"/>
      <c r="D13" s="11"/>
      <c r="E13" s="11"/>
      <c r="F13" s="11"/>
      <c r="G13" s="11"/>
      <c r="H13" s="48">
        <v>194000</v>
      </c>
    </row>
    <row r="14" spans="1:8" x14ac:dyDescent="0.25">
      <c r="A14" s="68" t="s">
        <v>30</v>
      </c>
      <c r="B14" s="69"/>
      <c r="C14" s="69"/>
      <c r="D14" s="69"/>
      <c r="E14" s="69"/>
      <c r="F14" s="69"/>
      <c r="G14" s="69"/>
      <c r="H14" s="48">
        <v>3567.21</v>
      </c>
    </row>
    <row r="15" spans="1:8" ht="14.25" customHeight="1" x14ac:dyDescent="0.25">
      <c r="A15" s="49" t="s">
        <v>9</v>
      </c>
      <c r="B15" s="50"/>
      <c r="C15" s="50"/>
      <c r="D15" s="50"/>
      <c r="E15" s="50"/>
      <c r="F15" s="50"/>
      <c r="G15" s="50"/>
      <c r="H15" s="51">
        <f>SUM(H13:H14)</f>
        <v>197567.21</v>
      </c>
    </row>
    <row r="16" spans="1:8" x14ac:dyDescent="0.25">
      <c r="A16" s="65" t="s">
        <v>10</v>
      </c>
      <c r="B16" s="66"/>
      <c r="C16" s="66"/>
      <c r="D16" s="66"/>
      <c r="E16" s="66"/>
      <c r="F16" s="66"/>
      <c r="G16" s="66"/>
      <c r="H16" s="67"/>
    </row>
    <row r="17" spans="1:11" x14ac:dyDescent="0.25">
      <c r="A17" s="34" t="s">
        <v>37</v>
      </c>
      <c r="B17" s="11"/>
      <c r="C17" s="11"/>
      <c r="D17" s="11"/>
      <c r="E17" s="11"/>
      <c r="F17" s="11"/>
      <c r="G17" s="11"/>
      <c r="H17" s="52">
        <v>29660.67</v>
      </c>
    </row>
    <row r="18" spans="1:11" x14ac:dyDescent="0.25">
      <c r="A18" s="49" t="s">
        <v>11</v>
      </c>
      <c r="B18" s="50"/>
      <c r="C18" s="50"/>
      <c r="D18" s="50"/>
      <c r="E18" s="50"/>
      <c r="F18" s="50"/>
      <c r="G18" s="50"/>
      <c r="H18" s="53">
        <f>SUM(H17:H17)</f>
        <v>29660.67</v>
      </c>
    </row>
    <row r="19" spans="1:11" x14ac:dyDescent="0.25">
      <c r="A19" s="65" t="s">
        <v>19</v>
      </c>
      <c r="B19" s="66"/>
      <c r="C19" s="66"/>
      <c r="D19" s="66"/>
      <c r="E19" s="66"/>
      <c r="F19" s="66"/>
      <c r="G19" s="66"/>
      <c r="H19" s="67"/>
    </row>
    <row r="20" spans="1:11" x14ac:dyDescent="0.25">
      <c r="A20" s="54" t="s">
        <v>20</v>
      </c>
      <c r="B20" s="55"/>
      <c r="C20" s="55"/>
      <c r="D20" s="55"/>
      <c r="E20" s="55"/>
      <c r="F20" s="55"/>
      <c r="G20" s="55"/>
      <c r="H20" s="56">
        <v>0</v>
      </c>
    </row>
    <row r="21" spans="1:11" x14ac:dyDescent="0.25">
      <c r="A21" s="34" t="s">
        <v>33</v>
      </c>
      <c r="B21" s="11"/>
      <c r="C21" s="11"/>
      <c r="D21" s="11"/>
      <c r="E21" s="11"/>
      <c r="F21" s="11"/>
      <c r="G21" s="11"/>
      <c r="H21" s="52">
        <v>0</v>
      </c>
    </row>
    <row r="22" spans="1:11" x14ac:dyDescent="0.25">
      <c r="A22" s="34" t="s">
        <v>9</v>
      </c>
      <c r="B22" s="11"/>
      <c r="C22" s="11"/>
      <c r="D22" s="11"/>
      <c r="E22" s="11"/>
      <c r="F22" s="11"/>
      <c r="G22" s="11"/>
      <c r="H22" s="57">
        <f>SUM(H20:H21)</f>
        <v>0</v>
      </c>
    </row>
    <row r="23" spans="1:11" x14ac:dyDescent="0.25">
      <c r="A23" s="64" t="s">
        <v>21</v>
      </c>
      <c r="B23" s="64"/>
      <c r="C23" s="64"/>
      <c r="D23" s="64"/>
      <c r="E23" s="64"/>
      <c r="F23" s="64"/>
      <c r="G23" s="64"/>
      <c r="H23" s="64"/>
    </row>
    <row r="24" spans="1:11" x14ac:dyDescent="0.25">
      <c r="A24" s="70" t="s">
        <v>38</v>
      </c>
      <c r="B24" s="71"/>
      <c r="C24" s="71"/>
      <c r="D24" s="71"/>
      <c r="E24" s="71"/>
      <c r="F24" s="71"/>
      <c r="G24" s="71"/>
      <c r="H24" s="52">
        <v>91930.94</v>
      </c>
    </row>
    <row r="25" spans="1:11" ht="17.25" customHeight="1" x14ac:dyDescent="0.25">
      <c r="A25" s="72" t="s">
        <v>43</v>
      </c>
      <c r="B25" s="73"/>
      <c r="C25" s="73"/>
      <c r="D25" s="73"/>
      <c r="E25" s="73"/>
      <c r="F25" s="73"/>
      <c r="G25" s="73"/>
      <c r="H25" s="52">
        <f>167000+70000</f>
        <v>237000</v>
      </c>
    </row>
    <row r="26" spans="1:11" ht="15.75" customHeight="1" x14ac:dyDescent="0.25">
      <c r="A26" s="49" t="s">
        <v>12</v>
      </c>
      <c r="B26" s="50"/>
      <c r="C26" s="50"/>
      <c r="D26" s="50"/>
      <c r="E26" s="50"/>
      <c r="F26" s="50"/>
      <c r="G26" s="50"/>
      <c r="H26" s="53">
        <f>SUM(H24:H25)</f>
        <v>328930.94</v>
      </c>
    </row>
    <row r="27" spans="1:11" x14ac:dyDescent="0.25">
      <c r="A27" s="65" t="s">
        <v>22</v>
      </c>
      <c r="B27" s="66"/>
      <c r="C27" s="66"/>
      <c r="D27" s="66"/>
      <c r="E27" s="66"/>
      <c r="F27" s="66"/>
      <c r="G27" s="66"/>
      <c r="H27" s="67"/>
    </row>
    <row r="28" spans="1:11" x14ac:dyDescent="0.25">
      <c r="A28" s="34" t="s">
        <v>13</v>
      </c>
      <c r="B28" s="11"/>
      <c r="C28" s="11" t="s">
        <v>14</v>
      </c>
      <c r="D28" s="11"/>
      <c r="E28" s="11" t="s">
        <v>26</v>
      </c>
      <c r="F28" s="11"/>
      <c r="G28" s="11"/>
      <c r="H28" s="7"/>
      <c r="I28" s="32"/>
    </row>
    <row r="29" spans="1:11" x14ac:dyDescent="0.25">
      <c r="A29" s="49" t="s">
        <v>39</v>
      </c>
      <c r="B29" s="50"/>
      <c r="C29" s="50"/>
      <c r="D29" s="50"/>
      <c r="E29" s="50"/>
      <c r="F29" s="50"/>
      <c r="G29" s="50"/>
      <c r="H29" s="74">
        <v>139770.16</v>
      </c>
      <c r="I29" s="32"/>
      <c r="K29" t="s">
        <v>36</v>
      </c>
    </row>
    <row r="30" spans="1:11" x14ac:dyDescent="0.25">
      <c r="A30" s="64" t="s">
        <v>23</v>
      </c>
      <c r="B30" s="64"/>
      <c r="C30" s="64"/>
      <c r="D30" s="64"/>
      <c r="E30" s="64"/>
      <c r="F30" s="64"/>
      <c r="G30" s="64"/>
      <c r="H30" s="64"/>
    </row>
    <row r="31" spans="1:11" x14ac:dyDescent="0.25">
      <c r="A31" s="4" t="s">
        <v>29</v>
      </c>
      <c r="B31" s="5"/>
      <c r="C31" s="5"/>
      <c r="D31" s="5"/>
      <c r="E31" s="5"/>
      <c r="F31" s="5"/>
      <c r="G31" s="5"/>
      <c r="H31" s="58">
        <v>49773</v>
      </c>
    </row>
    <row r="32" spans="1:11" s="3" customFormat="1" ht="15.75" x14ac:dyDescent="0.25">
      <c r="A32" s="8" t="s">
        <v>24</v>
      </c>
      <c r="B32" s="9"/>
      <c r="C32" s="9"/>
      <c r="D32" s="9"/>
      <c r="E32" s="9"/>
      <c r="F32" s="9"/>
      <c r="G32" s="9"/>
      <c r="H32" s="10">
        <f>H31+H29+H26+H22+H18+H15</f>
        <v>745701.98</v>
      </c>
    </row>
    <row r="33" spans="1:10" s="3" customFormat="1" ht="15.75" x14ac:dyDescent="0.25">
      <c r="A33" s="21" t="s">
        <v>35</v>
      </c>
      <c r="B33" s="21"/>
      <c r="C33" s="21"/>
      <c r="D33" s="21"/>
      <c r="E33" s="21"/>
      <c r="F33" s="21"/>
      <c r="G33" s="21"/>
      <c r="H33" s="22">
        <v>500000</v>
      </c>
      <c r="I33" s="33"/>
      <c r="J33" s="33"/>
    </row>
    <row r="34" spans="1:10" s="3" customFormat="1" ht="16.5" thickBot="1" x14ac:dyDescent="0.3">
      <c r="A34" s="21" t="s">
        <v>32</v>
      </c>
      <c r="B34" s="21"/>
      <c r="C34" s="21"/>
      <c r="D34" s="21"/>
      <c r="E34" s="21"/>
      <c r="F34" s="21"/>
      <c r="G34" s="21"/>
      <c r="H34" s="22">
        <f>H32+H33</f>
        <v>1245701.98</v>
      </c>
      <c r="I34" s="35"/>
    </row>
    <row r="35" spans="1:10" s="3" customFormat="1" ht="16.5" thickBot="1" x14ac:dyDescent="0.3">
      <c r="A35" s="23"/>
      <c r="B35" s="24"/>
      <c r="C35" s="24"/>
      <c r="D35" s="24"/>
      <c r="E35" s="24"/>
      <c r="F35" s="24"/>
      <c r="G35" s="24"/>
      <c r="H35" s="25"/>
    </row>
    <row r="36" spans="1:10" s="3" customFormat="1" ht="15.75" x14ac:dyDescent="0.25">
      <c r="A36" s="26"/>
      <c r="B36" s="26"/>
      <c r="C36" s="26"/>
      <c r="D36" s="26"/>
      <c r="E36" s="26"/>
      <c r="F36" s="26"/>
      <c r="G36" s="26"/>
      <c r="H36" s="27"/>
    </row>
    <row r="37" spans="1:10" s="3" customFormat="1" ht="15.75" x14ac:dyDescent="0.25">
      <c r="A37" s="26"/>
      <c r="B37" s="26"/>
      <c r="C37" s="26"/>
      <c r="D37" s="26"/>
      <c r="E37" s="26"/>
      <c r="F37" s="26"/>
      <c r="G37" s="26"/>
      <c r="H37" s="28"/>
    </row>
    <row r="38" spans="1:10" s="1" customFormat="1" ht="17.25" customHeight="1" x14ac:dyDescent="0.3">
      <c r="A38" s="45" t="s">
        <v>25</v>
      </c>
      <c r="B38" s="46"/>
      <c r="C38" s="46"/>
      <c r="D38" s="46"/>
      <c r="E38" s="46"/>
      <c r="F38" s="46"/>
      <c r="G38" s="46"/>
      <c r="H38" s="47">
        <f>SUM(H36:H37)</f>
        <v>0</v>
      </c>
    </row>
    <row r="39" spans="1:10" ht="0.75" customHeight="1" x14ac:dyDescent="0.25">
      <c r="A39" s="60" t="s">
        <v>16</v>
      </c>
      <c r="B39" s="60"/>
      <c r="C39" s="60"/>
      <c r="D39" s="60"/>
      <c r="E39" s="60"/>
      <c r="F39" s="60"/>
      <c r="G39" s="60"/>
      <c r="H39" s="60"/>
    </row>
    <row r="40" spans="1:10" hidden="1" x14ac:dyDescent="0.25">
      <c r="A40" s="60"/>
      <c r="B40" s="60"/>
      <c r="C40" s="60"/>
      <c r="D40" s="60"/>
      <c r="E40" s="60"/>
      <c r="F40" s="60"/>
      <c r="G40" s="60"/>
      <c r="H40" s="60"/>
    </row>
    <row r="41" spans="1:10" x14ac:dyDescent="0.25">
      <c r="A41" s="11"/>
      <c r="B41" s="11"/>
      <c r="C41" s="11"/>
      <c r="D41" s="11"/>
      <c r="E41" s="11"/>
      <c r="F41" s="11"/>
      <c r="G41" s="11"/>
      <c r="H41" s="11"/>
    </row>
    <row r="42" spans="1:10" ht="18.75" x14ac:dyDescent="0.3">
      <c r="A42" s="61"/>
      <c r="B42" s="62"/>
      <c r="C42" s="62"/>
      <c r="D42" s="62"/>
      <c r="E42" s="62"/>
      <c r="F42" s="62"/>
      <c r="G42" s="62"/>
      <c r="H42" s="63"/>
      <c r="J42" s="2"/>
    </row>
    <row r="43" spans="1:10" ht="18.75" x14ac:dyDescent="0.3">
      <c r="A43" s="12" t="s">
        <v>18</v>
      </c>
      <c r="B43" s="13"/>
      <c r="C43" s="13"/>
      <c r="D43" s="13"/>
      <c r="E43" s="13"/>
      <c r="F43" s="13"/>
      <c r="G43" s="13"/>
      <c r="H43" s="20">
        <v>1495376.39</v>
      </c>
    </row>
    <row r="44" spans="1:10" x14ac:dyDescent="0.25">
      <c r="A44" s="14" t="s">
        <v>34</v>
      </c>
      <c r="B44" s="15"/>
      <c r="C44" s="15"/>
      <c r="D44" s="15"/>
      <c r="E44" s="15"/>
      <c r="F44" s="15"/>
      <c r="G44" s="15"/>
      <c r="H44" s="30">
        <v>1027656.6683125072</v>
      </c>
    </row>
    <row r="45" spans="1:10" x14ac:dyDescent="0.25">
      <c r="A45" s="14" t="s">
        <v>31</v>
      </c>
      <c r="B45" s="15"/>
      <c r="C45" s="15"/>
      <c r="D45" s="15"/>
      <c r="E45" s="15"/>
      <c r="F45" s="15"/>
      <c r="G45" s="15"/>
      <c r="H45" s="16"/>
      <c r="I45" s="31"/>
    </row>
    <row r="46" spans="1:10" x14ac:dyDescent="0.25">
      <c r="A46" s="14" t="s">
        <v>40</v>
      </c>
      <c r="B46" s="15"/>
      <c r="C46" s="15"/>
      <c r="D46" s="15"/>
      <c r="E46" s="15"/>
      <c r="F46" s="15"/>
      <c r="G46" s="15"/>
      <c r="H46" s="17">
        <f>-( H32 )</f>
        <v>-745701.98</v>
      </c>
    </row>
    <row r="47" spans="1:10" x14ac:dyDescent="0.25">
      <c r="A47" s="14" t="s">
        <v>41</v>
      </c>
      <c r="B47" s="15"/>
      <c r="C47" s="15"/>
      <c r="D47" s="15"/>
      <c r="E47" s="15"/>
      <c r="F47" s="15"/>
      <c r="G47" s="15"/>
      <c r="H47" s="17"/>
    </row>
    <row r="48" spans="1:10" ht="18.75" x14ac:dyDescent="0.3">
      <c r="A48" s="18" t="s">
        <v>17</v>
      </c>
      <c r="B48" s="19"/>
      <c r="C48" s="19"/>
      <c r="D48" s="19"/>
      <c r="E48" s="19"/>
      <c r="F48" s="19"/>
      <c r="G48" s="19"/>
      <c r="H48" s="29">
        <f>SUM(H43:H47)</f>
        <v>1777331.0783125074</v>
      </c>
    </row>
    <row r="49" spans="1:8" x14ac:dyDescent="0.25">
      <c r="A49" s="11"/>
      <c r="B49" s="11"/>
      <c r="C49" s="11"/>
      <c r="D49" s="11"/>
      <c r="E49" s="11"/>
      <c r="F49" s="11"/>
      <c r="G49" s="11"/>
      <c r="H49" s="11"/>
    </row>
    <row r="50" spans="1:8" x14ac:dyDescent="0.25">
      <c r="A50" s="11"/>
      <c r="B50" s="59" t="s">
        <v>44</v>
      </c>
      <c r="C50" s="59"/>
      <c r="D50" s="59"/>
      <c r="E50" s="59"/>
      <c r="F50" s="59"/>
      <c r="G50" s="59"/>
      <c r="H50" s="11"/>
    </row>
    <row r="51" spans="1:8" x14ac:dyDescent="0.25">
      <c r="A51" s="11"/>
      <c r="B51" s="59"/>
      <c r="C51" s="59"/>
      <c r="D51" s="59"/>
      <c r="E51" s="59"/>
      <c r="F51" s="59"/>
      <c r="G51" s="59"/>
      <c r="H51" s="11"/>
    </row>
    <row r="52" spans="1:8" x14ac:dyDescent="0.25">
      <c r="A52" s="11"/>
      <c r="B52" s="59"/>
      <c r="C52" s="59"/>
      <c r="D52" s="59"/>
      <c r="E52" s="59"/>
      <c r="F52" s="59"/>
      <c r="G52" s="59"/>
      <c r="H52" s="11"/>
    </row>
    <row r="53" spans="1:8" x14ac:dyDescent="0.25">
      <c r="A53" s="11"/>
      <c r="B53" s="59"/>
      <c r="C53" s="59"/>
      <c r="D53" s="59"/>
      <c r="E53" s="59"/>
      <c r="F53" s="59"/>
      <c r="G53" s="59"/>
      <c r="H53" s="11"/>
    </row>
    <row r="54" spans="1:8" x14ac:dyDescent="0.25">
      <c r="A54" s="11"/>
      <c r="B54" s="59"/>
      <c r="C54" s="59"/>
      <c r="D54" s="59"/>
      <c r="E54" s="59"/>
      <c r="F54" s="59"/>
      <c r="G54" s="59"/>
      <c r="H54" s="11"/>
    </row>
    <row r="55" spans="1:8" x14ac:dyDescent="0.25">
      <c r="A55" s="11"/>
      <c r="B55" s="59"/>
      <c r="C55" s="59"/>
      <c r="D55" s="59"/>
      <c r="E55" s="59"/>
      <c r="F55" s="59"/>
      <c r="G55" s="59"/>
      <c r="H55" s="11"/>
    </row>
  </sheetData>
  <mergeCells count="12">
    <mergeCell ref="B50:G55"/>
    <mergeCell ref="A39:H40"/>
    <mergeCell ref="A42:H42"/>
    <mergeCell ref="A12:H12"/>
    <mergeCell ref="A16:H16"/>
    <mergeCell ref="A23:H23"/>
    <mergeCell ref="A27:H27"/>
    <mergeCell ref="A30:H30"/>
    <mergeCell ref="A19:H19"/>
    <mergeCell ref="A14:G14"/>
    <mergeCell ref="A24:G24"/>
    <mergeCell ref="A25:G25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Sistemax</cp:lastModifiedBy>
  <cp:lastPrinted>2025-04-03T12:35:40Z</cp:lastPrinted>
  <dcterms:created xsi:type="dcterms:W3CDTF">2021-11-02T15:18:42Z</dcterms:created>
  <dcterms:modified xsi:type="dcterms:W3CDTF">2025-05-28T15:09:43Z</dcterms:modified>
</cp:coreProperties>
</file>