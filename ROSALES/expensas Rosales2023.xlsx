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8960" windowHeight="11325"/>
  </bookViews>
  <sheets>
    <sheet name="Table 1" sheetId="1" r:id="rId1"/>
  </sheets>
  <calcPr calcId="144525"/>
</workbook>
</file>

<file path=xl/calcChain.xml><?xml version="1.0" encoding="utf-8"?>
<calcChain xmlns="http://schemas.openxmlformats.org/spreadsheetml/2006/main">
  <c r="D36" i="1" l="1"/>
  <c r="F36" i="1" s="1"/>
  <c r="D37" i="1"/>
  <c r="D38" i="1"/>
  <c r="F38" i="1" s="1"/>
  <c r="D39" i="1"/>
  <c r="D40" i="1"/>
  <c r="F40" i="1" s="1"/>
  <c r="D41" i="1"/>
  <c r="D42" i="1"/>
  <c r="F42" i="1" s="1"/>
  <c r="D43" i="1"/>
  <c r="D44" i="1"/>
  <c r="F44" i="1" s="1"/>
  <c r="D45" i="1"/>
  <c r="D46" i="1"/>
  <c r="F46" i="1" s="1"/>
  <c r="D47" i="1"/>
  <c r="D48" i="1"/>
  <c r="F48" i="1" s="1"/>
  <c r="D49" i="1"/>
  <c r="D50" i="1"/>
  <c r="F50" i="1" s="1"/>
  <c r="D51" i="1"/>
  <c r="D52" i="1"/>
  <c r="F52" i="1" s="1"/>
  <c r="D53" i="1"/>
  <c r="D54" i="1"/>
  <c r="F54" i="1" s="1"/>
  <c r="D55" i="1"/>
  <c r="D56" i="1"/>
  <c r="F56" i="1" s="1"/>
  <c r="D57" i="1"/>
  <c r="D58" i="1"/>
  <c r="F58" i="1" s="1"/>
  <c r="D59" i="1"/>
  <c r="D60" i="1"/>
  <c r="F60" i="1" s="1"/>
  <c r="D61" i="1"/>
  <c r="D35" i="1"/>
  <c r="F35" i="1" s="1"/>
  <c r="F37" i="1"/>
  <c r="F39" i="1"/>
  <c r="F41" i="1"/>
  <c r="F43" i="1"/>
  <c r="F45" i="1"/>
  <c r="F47" i="1"/>
  <c r="F49" i="1"/>
  <c r="F51" i="1"/>
  <c r="F53" i="1"/>
  <c r="F55" i="1"/>
  <c r="F57" i="1"/>
  <c r="F59" i="1"/>
  <c r="F61" i="1"/>
</calcChain>
</file>

<file path=xl/sharedStrings.xml><?xml version="1.0" encoding="utf-8"?>
<sst xmlns="http://schemas.openxmlformats.org/spreadsheetml/2006/main" count="58" uniqueCount="58">
  <si>
    <t>GASTOS A RECUPERAR</t>
  </si>
  <si>
    <t>ABONADO</t>
  </si>
  <si>
    <t>SUBTOTAL</t>
  </si>
  <si>
    <t>Honorarios  y jornales</t>
  </si>
  <si>
    <t>Sueldo personal de limpieza y maestranza Octubre</t>
  </si>
  <si>
    <t>Aportes y contribuciones</t>
  </si>
  <si>
    <t>Servicios e impuestos</t>
  </si>
  <si>
    <t>Edesur (general)</t>
  </si>
  <si>
    <t>Aysa</t>
  </si>
  <si>
    <t>TSG</t>
  </si>
  <si>
    <t>Arba proporcional</t>
  </si>
  <si>
    <t>Gastos varios</t>
  </si>
  <si>
    <t>Honorarios administrativos</t>
  </si>
  <si>
    <t>Gastos administrativos</t>
  </si>
  <si>
    <t>Seguro contra incendio</t>
  </si>
  <si>
    <t>Ascensores company mantenimiento</t>
  </si>
  <si>
    <t>Gastos varios, art limpieza, gastos bancarios, etc</t>
  </si>
  <si>
    <t>GASTOS TOTALES</t>
  </si>
  <si>
    <t>UNIDAD FUNCIONAL</t>
  </si>
  <si>
    <t>SALDO ANTERIOR</t>
  </si>
  <si>
    <t>EXPENSA ORDINARIA</t>
  </si>
  <si>
    <t>SALDO EXPENSA</t>
  </si>
  <si>
    <t>1ro. "A"</t>
  </si>
  <si>
    <t>1ro. "B"</t>
  </si>
  <si>
    <t>2do. "A"</t>
  </si>
  <si>
    <t>2do. "B"</t>
  </si>
  <si>
    <t>3ro. "A"</t>
  </si>
  <si>
    <t>3ro. "B"</t>
  </si>
  <si>
    <t>4to. "A"</t>
  </si>
  <si>
    <t>4to. "B"</t>
  </si>
  <si>
    <t>5to. "A"</t>
  </si>
  <si>
    <t>5to. "B"</t>
  </si>
  <si>
    <t>6to. "A"</t>
  </si>
  <si>
    <t>6to. "B"</t>
  </si>
  <si>
    <t>7mo. "A"</t>
  </si>
  <si>
    <t>7mo. "B"</t>
  </si>
  <si>
    <t>8vo. "A"</t>
  </si>
  <si>
    <t>8vo. "B"</t>
  </si>
  <si>
    <t>9no. "A"</t>
  </si>
  <si>
    <t>COCHERA 1</t>
  </si>
  <si>
    <t>COCHERA 2</t>
  </si>
  <si>
    <t>COCHERA 3</t>
  </si>
  <si>
    <t>COCHERA 4</t>
  </si>
  <si>
    <t>COCHERA 5</t>
  </si>
  <si>
    <t>COCHERA 6</t>
  </si>
  <si>
    <t>COCHERA 7</t>
  </si>
  <si>
    <t>COCHERA 8</t>
  </si>
  <si>
    <t>COCHERA 9</t>
  </si>
  <si>
    <t>COCHERA 10</t>
  </si>
  <si>
    <t xml:space="preserve">DETALLE DE GASTOS Y MOVIMIENTOS DE FONDOS DE CONSORCIO ROSALES 624. EXPENSAS ORDINARIAS                                                           </t>
  </si>
  <si>
    <t>DICIEMBRE</t>
  </si>
  <si>
    <t>RC consorcios                                    Tel : 11-5320-2676</t>
  </si>
  <si>
    <t xml:space="preserve">mail: </t>
  </si>
  <si>
    <t>ESTADO DE CUENTA</t>
  </si>
  <si>
    <t>NOTAS:</t>
  </si>
  <si>
    <t xml:space="preserve">Los gastos sobre impuestos, en algunos casos son estimativos, las diferencias se iran registrando y descontando o agregando en los meses siguientes.
Estimados propietarios, los medidores de gas que no hayan cambiado de titularidad serán dados de baja.
Por favor, dar aviso del cambio a través de mail.
Se adjunta al presente documento el detalle del consumo eléctrico.
</t>
  </si>
  <si>
    <t>SALDO ABONADO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</si>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</sst>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9" x14ac:knownFonts="1">
    <font>
      <sz val="10"/>
      <color rgb="FF000000"/>
      <name val="Times New Roman"/>
      <charset val="204"/>
    </font>
    <font>
      <b/>
      <sz val="6.5"/>
      <name val="Calibri"/>
      <family val="1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indexed="8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  <bgColor indexed="64"/>
      </patternFill>
    </fill>
    <fill>
      <gradientFill>
        <stop position="0">
          <color theme="0"/>
        </stop>
        <stop position="1">
          <color theme="0" tint="-0.34900967436750391"/>
        </stop>
      </gradientFill>
    </fill>
    <fill>
      <patternFill patternType="solid">
        <fgColor theme="0"/>
        <bgColor auto="1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4">
    <xf numFmtId="0" fontId="0" fillId="0" borderId="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44" fontId="0" fillId="0" borderId="0" xfId="1" applyFont="1" applyFill="1" applyBorder="1" applyAlignment="1">
      <alignment horizontal="left" vertical="top"/>
    </xf>
    <xf numFmtId="44" fontId="0" fillId="0" borderId="4" xfId="1" applyFont="1" applyFill="1" applyBorder="1" applyAlignment="1">
      <alignment horizontal="left" vertical="top"/>
    </xf>
    <xf numFmtId="44" fontId="4" fillId="3" borderId="5" xfId="1" applyFont="1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4" xfId="0" applyFill="1" applyBorder="1" applyAlignment="1">
      <alignment horizontal="center" vertical="top"/>
    </xf>
    <xf numFmtId="0" fontId="0" fillId="0" borderId="4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/>
    </xf>
    <xf numFmtId="8" fontId="0" fillId="0" borderId="2" xfId="0" applyNumberFormat="1" applyFill="1" applyBorder="1" applyAlignment="1">
      <alignment horizontal="center" vertical="top"/>
    </xf>
    <xf numFmtId="0" fontId="0" fillId="0" borderId="2" xfId="0" applyFill="1" applyBorder="1" applyAlignment="1">
      <alignment horizontal="center" vertical="top"/>
    </xf>
    <xf numFmtId="2" fontId="7" fillId="5" borderId="0" xfId="0" applyNumberFormat="1" applyFont="1" applyFill="1" applyAlignment="1">
      <alignment horizontal="left"/>
    </xf>
    <xf numFmtId="0" fontId="5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top"/>
    </xf>
    <xf numFmtId="2" fontId="6" fillId="4" borderId="7" xfId="0" applyNumberFormat="1" applyFont="1" applyFill="1" applyBorder="1" applyAlignment="1">
      <alignment horizontal="left"/>
    </xf>
    <xf numFmtId="2" fontId="6" fillId="4" borderId="8" xfId="0" applyNumberFormat="1" applyFont="1" applyFill="1" applyBorder="1" applyAlignment="1">
      <alignment horizontal="left"/>
    </xf>
    <xf numFmtId="2" fontId="6" fillId="4" borderId="9" xfId="0" applyNumberFormat="1" applyFont="1" applyFill="1" applyBorder="1" applyAlignment="1">
      <alignment horizontal="left"/>
    </xf>
    <xf numFmtId="2" fontId="8" fillId="4" borderId="10" xfId="0" applyNumberFormat="1" applyFont="1" applyFill="1" applyBorder="1" applyAlignment="1">
      <alignment horizontal="left"/>
    </xf>
    <xf numFmtId="2" fontId="7" fillId="4" borderId="11" xfId="0" applyNumberFormat="1" applyFont="1" applyFill="1" applyBorder="1" applyAlignment="1">
      <alignment horizontal="left"/>
    </xf>
    <xf numFmtId="2" fontId="7" fillId="4" borderId="12" xfId="0" applyNumberFormat="1" applyFont="1" applyFill="1" applyBorder="1" applyAlignment="1">
      <alignment horizontal="left"/>
    </xf>
    <xf numFmtId="0" fontId="3" fillId="6" borderId="13" xfId="0" applyFont="1" applyFill="1" applyBorder="1" applyAlignment="1">
      <alignment horizontal="center" vertical="top"/>
    </xf>
    <xf numFmtId="0" fontId="3" fillId="6" borderId="14" xfId="0" applyFont="1" applyFill="1" applyBorder="1" applyAlignment="1">
      <alignment horizontal="center" vertical="top"/>
    </xf>
    <xf numFmtId="0" fontId="3" fillId="6" borderId="15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0" fillId="0" borderId="4" xfId="0" applyFill="1" applyBorder="1" applyAlignment="1">
      <alignment horizontal="center" vertical="center" wrapText="1"/>
    </xf>
    <xf numFmtId="8" fontId="0" fillId="0" borderId="2" xfId="0" applyNumberFormat="1" applyFill="1" applyBorder="1" applyAlignment="1">
      <alignment horizontal="left" vertical="top"/>
    </xf>
    <xf numFmtId="0" fontId="0" fillId="0" borderId="5" xfId="0" applyFill="1" applyBorder="1" applyAlignment="1">
      <alignment horizontal="center" vertical="top"/>
    </xf>
    <xf numFmtId="44" fontId="0" fillId="0" borderId="6" xfId="1" applyFont="1" applyFill="1" applyBorder="1" applyAlignment="1">
      <alignment horizontal="left" vertical="top"/>
    </xf>
    <xf numFmtId="44" fontId="4" fillId="7" borderId="0" xfId="1" applyFont="1" applyFill="1" applyBorder="1" applyAlignment="1">
      <alignment horizontal="left" vertical="top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topLeftCell="A48" workbookViewId="0">
      <selection activeCell="F62" sqref="A33:F62"/>
    </sheetView>
  </sheetViews>
  <sheetFormatPr baseColWidth="10" defaultColWidth="9.33203125" defaultRowHeight="12.75" x14ac:dyDescent="0.2"/>
  <cols>
    <col min="1" max="1" width="46.33203125" customWidth="1"/>
    <col min="2" max="2" width="17.1640625" customWidth="1"/>
    <col min="3" max="3" width="18.1640625" customWidth="1"/>
    <col min="4" max="4" width="14.33203125" customWidth="1"/>
    <col min="5" max="5" width="14.5" customWidth="1"/>
    <col min="6" max="6" width="12" customWidth="1"/>
  </cols>
  <sheetData>
    <row r="1" spans="1:5" ht="23.25" x14ac:dyDescent="0.35">
      <c r="A1" s="19" t="s">
        <v>51</v>
      </c>
      <c r="B1" s="20"/>
      <c r="C1" s="20"/>
      <c r="D1" s="20"/>
      <c r="E1" s="21"/>
    </row>
    <row r="2" spans="1:5" ht="13.5" thickBot="1" x14ac:dyDescent="0.25">
      <c r="A2" s="22" t="s">
        <v>52</v>
      </c>
      <c r="B2" s="23"/>
      <c r="C2" s="23"/>
      <c r="D2" s="23"/>
      <c r="E2" s="24"/>
    </row>
    <row r="3" spans="1:5" x14ac:dyDescent="0.2">
      <c r="A3" s="13"/>
      <c r="B3" s="13"/>
      <c r="C3" s="13"/>
      <c r="D3" s="13"/>
      <c r="E3" s="13"/>
    </row>
    <row r="4" spans="1:5" ht="30" customHeight="1" x14ac:dyDescent="0.2">
      <c r="A4" s="16" t="s">
        <v>49</v>
      </c>
      <c r="B4" s="17"/>
      <c r="C4" s="17"/>
      <c r="D4" s="17"/>
      <c r="E4" s="17"/>
    </row>
    <row r="5" spans="1:5" x14ac:dyDescent="0.2">
      <c r="A5" s="18" t="s">
        <v>50</v>
      </c>
      <c r="B5" s="18"/>
      <c r="C5" s="18"/>
      <c r="D5" s="18"/>
      <c r="E5" s="18"/>
    </row>
    <row r="9" spans="1:5" x14ac:dyDescent="0.2">
      <c r="A9" s="1" t="s">
        <v>0</v>
      </c>
      <c r="B9" s="6" t="s">
        <v>1</v>
      </c>
      <c r="C9" s="31" t="s">
        <v>2</v>
      </c>
      <c r="D9" s="28"/>
    </row>
    <row r="10" spans="1:5" x14ac:dyDescent="0.2">
      <c r="A10" t="s">
        <v>3</v>
      </c>
      <c r="C10" s="5"/>
    </row>
    <row r="11" spans="1:5" x14ac:dyDescent="0.2">
      <c r="A11" t="s">
        <v>4</v>
      </c>
      <c r="B11" s="2">
        <v>105424.54</v>
      </c>
      <c r="C11" s="32"/>
      <c r="D11" s="2"/>
    </row>
    <row r="12" spans="1:5" x14ac:dyDescent="0.2">
      <c r="A12" t="s">
        <v>5</v>
      </c>
      <c r="B12" s="2">
        <v>21820.98</v>
      </c>
      <c r="C12" s="32"/>
      <c r="D12" s="2"/>
    </row>
    <row r="13" spans="1:5" x14ac:dyDescent="0.2">
      <c r="B13" s="2"/>
      <c r="C13" s="32">
        <v>127245.52</v>
      </c>
      <c r="D13" s="2"/>
    </row>
    <row r="14" spans="1:5" x14ac:dyDescent="0.2">
      <c r="A14" t="s">
        <v>6</v>
      </c>
      <c r="B14" s="2"/>
      <c r="C14" s="32"/>
      <c r="D14" s="2"/>
    </row>
    <row r="15" spans="1:5" x14ac:dyDescent="0.2">
      <c r="A15" t="s">
        <v>7</v>
      </c>
      <c r="B15" s="2">
        <v>64569.78</v>
      </c>
      <c r="C15" s="32"/>
      <c r="D15" s="2"/>
    </row>
    <row r="16" spans="1:5" x14ac:dyDescent="0.2">
      <c r="A16" t="s">
        <v>8</v>
      </c>
      <c r="B16" s="2">
        <v>4686.55</v>
      </c>
      <c r="C16" s="32"/>
      <c r="D16" s="2"/>
    </row>
    <row r="17" spans="1:6" x14ac:dyDescent="0.2">
      <c r="A17" t="s">
        <v>9</v>
      </c>
      <c r="B17" s="2">
        <v>3580</v>
      </c>
      <c r="C17" s="32"/>
      <c r="D17" s="2"/>
    </row>
    <row r="18" spans="1:6" x14ac:dyDescent="0.2">
      <c r="A18" t="s">
        <v>10</v>
      </c>
      <c r="B18" s="2">
        <v>2770.87</v>
      </c>
      <c r="C18" s="32"/>
      <c r="D18" s="2"/>
    </row>
    <row r="19" spans="1:6" x14ac:dyDescent="0.2">
      <c r="B19" s="2"/>
      <c r="C19" s="32">
        <v>75607.199999999997</v>
      </c>
      <c r="D19" s="2"/>
    </row>
    <row r="20" spans="1:6" x14ac:dyDescent="0.2">
      <c r="A20" t="s">
        <v>11</v>
      </c>
      <c r="B20" s="2"/>
      <c r="C20" s="32"/>
      <c r="D20" s="2"/>
    </row>
    <row r="21" spans="1:6" x14ac:dyDescent="0.2">
      <c r="A21" t="s">
        <v>12</v>
      </c>
      <c r="B21" s="2">
        <v>25000</v>
      </c>
      <c r="C21" s="32"/>
      <c r="D21" s="2"/>
    </row>
    <row r="22" spans="1:6" x14ac:dyDescent="0.2">
      <c r="A22" t="s">
        <v>13</v>
      </c>
      <c r="B22" s="2">
        <v>8240</v>
      </c>
      <c r="C22" s="32"/>
      <c r="D22" s="2"/>
    </row>
    <row r="23" spans="1:6" x14ac:dyDescent="0.2">
      <c r="A23" t="s">
        <v>14</v>
      </c>
      <c r="B23" s="2">
        <v>9061</v>
      </c>
      <c r="C23" s="32"/>
      <c r="D23" s="2"/>
    </row>
    <row r="24" spans="1:6" x14ac:dyDescent="0.2">
      <c r="A24" t="s">
        <v>15</v>
      </c>
      <c r="B24" s="2">
        <v>11700</v>
      </c>
      <c r="C24" s="32"/>
      <c r="D24" s="2"/>
    </row>
    <row r="25" spans="1:6" x14ac:dyDescent="0.2">
      <c r="A25" t="s">
        <v>16</v>
      </c>
      <c r="B25" s="2">
        <v>8350</v>
      </c>
      <c r="C25" s="32"/>
      <c r="D25" s="2"/>
    </row>
    <row r="26" spans="1:6" x14ac:dyDescent="0.2">
      <c r="B26" s="2"/>
      <c r="C26" s="32">
        <v>62351</v>
      </c>
      <c r="D26" s="2"/>
    </row>
    <row r="27" spans="1:6" x14ac:dyDescent="0.2">
      <c r="B27" s="2"/>
      <c r="C27" s="32"/>
      <c r="D27" s="2"/>
    </row>
    <row r="28" spans="1:6" ht="15.75" x14ac:dyDescent="0.2">
      <c r="A28" s="1" t="s">
        <v>17</v>
      </c>
      <c r="B28" s="3"/>
      <c r="C28" s="4">
        <v>265203.71999999997</v>
      </c>
      <c r="D28" s="33"/>
    </row>
    <row r="29" spans="1:6" ht="13.5" thickBot="1" x14ac:dyDescent="0.25"/>
    <row r="30" spans="1:6" ht="13.5" thickBot="1" x14ac:dyDescent="0.25">
      <c r="A30" s="25" t="s">
        <v>53</v>
      </c>
      <c r="B30" s="26"/>
      <c r="C30" s="26"/>
      <c r="D30" s="26"/>
      <c r="E30" s="26"/>
      <c r="F30" s="27"/>
    </row>
    <row r="33" spans="1:6" ht="29.25" customHeight="1" x14ac:dyDescent="0.2">
      <c r="A33" s="1"/>
      <c r="B33" s="7" t="s">
        <v>19</v>
      </c>
      <c r="C33" s="8" t="s">
        <v>56</v>
      </c>
      <c r="D33" s="29" t="s">
        <v>57</v>
      </c>
      <c r="E33" s="7" t="s">
        <v>20</v>
      </c>
      <c r="F33" s="9" t="s">
        <v>21</v>
      </c>
    </row>
    <row r="34" spans="1:6" x14ac:dyDescent="0.2">
      <c r="A34" s="8" t="s">
        <v>18</v>
      </c>
      <c r="B34" s="10"/>
      <c r="C34" s="11"/>
      <c r="D34" s="11"/>
      <c r="E34" s="10"/>
      <c r="F34" s="30"/>
    </row>
    <row r="35" spans="1:6" x14ac:dyDescent="0.2">
      <c r="A35" s="10" t="s">
        <v>22</v>
      </c>
      <c r="B35" s="11">
        <v>-5393.96</v>
      </c>
      <c r="C35" s="11"/>
      <c r="D35" s="11">
        <f>B35-C35</f>
        <v>-5393.96</v>
      </c>
      <c r="E35" s="10"/>
      <c r="F35" s="30">
        <f t="shared" ref="F35:F61" si="0">D35+E35</f>
        <v>-5393.96</v>
      </c>
    </row>
    <row r="36" spans="1:6" x14ac:dyDescent="0.2">
      <c r="A36" s="10" t="s">
        <v>23</v>
      </c>
      <c r="B36" s="11">
        <v>-5384.53</v>
      </c>
      <c r="C36" s="12"/>
      <c r="D36" s="11">
        <f t="shared" ref="D36:D61" si="1">B36-C36</f>
        <v>-5384.53</v>
      </c>
      <c r="E36" s="10"/>
      <c r="F36" s="30">
        <f t="shared" si="0"/>
        <v>-5384.53</v>
      </c>
    </row>
    <row r="37" spans="1:6" x14ac:dyDescent="0.2">
      <c r="A37" s="10" t="s">
        <v>24</v>
      </c>
      <c r="B37" s="12">
        <v>32786.660000000003</v>
      </c>
      <c r="C37" s="12"/>
      <c r="D37" s="11">
        <f t="shared" si="1"/>
        <v>32786.660000000003</v>
      </c>
      <c r="E37" s="10"/>
      <c r="F37" s="30">
        <f t="shared" si="0"/>
        <v>32786.660000000003</v>
      </c>
    </row>
    <row r="38" spans="1:6" x14ac:dyDescent="0.2">
      <c r="A38" s="10" t="s">
        <v>25</v>
      </c>
      <c r="B38" s="12"/>
      <c r="C38" s="12"/>
      <c r="D38" s="11">
        <f t="shared" si="1"/>
        <v>0</v>
      </c>
      <c r="E38" s="10"/>
      <c r="F38" s="30">
        <f t="shared" si="0"/>
        <v>0</v>
      </c>
    </row>
    <row r="39" spans="1:6" x14ac:dyDescent="0.2">
      <c r="A39" s="10" t="s">
        <v>26</v>
      </c>
      <c r="B39" s="12">
        <v>32935.129999999997</v>
      </c>
      <c r="C39" s="11"/>
      <c r="D39" s="11">
        <f t="shared" si="1"/>
        <v>32935.129999999997</v>
      </c>
      <c r="E39" s="10"/>
      <c r="F39" s="30">
        <f t="shared" si="0"/>
        <v>32935.129999999997</v>
      </c>
    </row>
    <row r="40" spans="1:6" x14ac:dyDescent="0.2">
      <c r="A40" s="10" t="s">
        <v>27</v>
      </c>
      <c r="B40" s="11">
        <v>-5384.53</v>
      </c>
      <c r="C40" s="11"/>
      <c r="D40" s="11">
        <f t="shared" si="1"/>
        <v>-5384.53</v>
      </c>
      <c r="E40" s="10"/>
      <c r="F40" s="30">
        <f t="shared" si="0"/>
        <v>-5384.53</v>
      </c>
    </row>
    <row r="41" spans="1:6" x14ac:dyDescent="0.2">
      <c r="A41" s="10" t="s">
        <v>28</v>
      </c>
      <c r="B41" s="11">
        <v>-5393.96</v>
      </c>
      <c r="C41" s="12"/>
      <c r="D41" s="11">
        <f t="shared" si="1"/>
        <v>-5393.96</v>
      </c>
      <c r="E41" s="10"/>
      <c r="F41" s="30">
        <f t="shared" si="0"/>
        <v>-5393.96</v>
      </c>
    </row>
    <row r="42" spans="1:6" x14ac:dyDescent="0.2">
      <c r="A42" s="10" t="s">
        <v>29</v>
      </c>
      <c r="B42" s="12">
        <v>51749</v>
      </c>
      <c r="C42" s="12"/>
      <c r="D42" s="11">
        <f t="shared" si="1"/>
        <v>51749</v>
      </c>
      <c r="E42" s="10"/>
      <c r="F42" s="30">
        <f t="shared" si="0"/>
        <v>51749</v>
      </c>
    </row>
    <row r="43" spans="1:6" x14ac:dyDescent="0.2">
      <c r="A43" s="10" t="s">
        <v>30</v>
      </c>
      <c r="B43" s="12">
        <v>41180.629999999997</v>
      </c>
      <c r="C43" s="12"/>
      <c r="D43" s="11">
        <f t="shared" si="1"/>
        <v>41180.629999999997</v>
      </c>
      <c r="E43" s="10"/>
      <c r="F43" s="30">
        <f t="shared" si="0"/>
        <v>41180.629999999997</v>
      </c>
    </row>
    <row r="44" spans="1:6" x14ac:dyDescent="0.2">
      <c r="A44" s="10" t="s">
        <v>31</v>
      </c>
      <c r="B44" s="12">
        <v>41562.22</v>
      </c>
      <c r="C44" s="11"/>
      <c r="D44" s="11">
        <f t="shared" si="1"/>
        <v>41562.22</v>
      </c>
      <c r="E44" s="10"/>
      <c r="F44" s="30">
        <f t="shared" si="0"/>
        <v>41562.22</v>
      </c>
    </row>
    <row r="45" spans="1:6" x14ac:dyDescent="0.2">
      <c r="A45" s="10" t="s">
        <v>32</v>
      </c>
      <c r="B45" s="11">
        <v>-5393.96</v>
      </c>
      <c r="C45" s="12"/>
      <c r="D45" s="11">
        <f t="shared" si="1"/>
        <v>-5393.96</v>
      </c>
      <c r="E45" s="10"/>
      <c r="F45" s="30">
        <f t="shared" si="0"/>
        <v>-5393.96</v>
      </c>
    </row>
    <row r="46" spans="1:6" x14ac:dyDescent="0.2">
      <c r="A46" s="10" t="s">
        <v>33</v>
      </c>
      <c r="B46" s="12">
        <v>15916.26</v>
      </c>
      <c r="C46" s="11"/>
      <c r="D46" s="11">
        <f t="shared" si="1"/>
        <v>15916.26</v>
      </c>
      <c r="E46" s="10"/>
      <c r="F46" s="30">
        <f t="shared" si="0"/>
        <v>15916.26</v>
      </c>
    </row>
    <row r="47" spans="1:6" x14ac:dyDescent="0.2">
      <c r="A47" s="10" t="s">
        <v>34</v>
      </c>
      <c r="B47" s="11">
        <v>-5318.52</v>
      </c>
      <c r="C47" s="11"/>
      <c r="D47" s="11">
        <f t="shared" si="1"/>
        <v>-5318.52</v>
      </c>
      <c r="E47" s="10"/>
      <c r="F47" s="30">
        <f t="shared" si="0"/>
        <v>-5318.52</v>
      </c>
    </row>
    <row r="48" spans="1:6" x14ac:dyDescent="0.2">
      <c r="A48" s="10" t="s">
        <v>35</v>
      </c>
      <c r="B48" s="11">
        <v>-5516.55</v>
      </c>
      <c r="C48" s="11"/>
      <c r="D48" s="11">
        <f t="shared" si="1"/>
        <v>-5516.55</v>
      </c>
      <c r="E48" s="10"/>
      <c r="F48" s="30">
        <f t="shared" si="0"/>
        <v>-5516.55</v>
      </c>
    </row>
    <row r="49" spans="1:6" x14ac:dyDescent="0.2">
      <c r="A49" s="10" t="s">
        <v>36</v>
      </c>
      <c r="B49" s="11">
        <v>-5327.95</v>
      </c>
      <c r="C49" s="11"/>
      <c r="D49" s="11">
        <f t="shared" si="1"/>
        <v>-5327.95</v>
      </c>
      <c r="E49" s="10"/>
      <c r="F49" s="30">
        <f t="shared" si="0"/>
        <v>-5327.95</v>
      </c>
    </row>
    <row r="50" spans="1:6" x14ac:dyDescent="0.2">
      <c r="A50" s="10" t="s">
        <v>37</v>
      </c>
      <c r="B50" s="11">
        <v>-5507.12</v>
      </c>
      <c r="C50" s="11"/>
      <c r="D50" s="11">
        <f t="shared" si="1"/>
        <v>-5507.12</v>
      </c>
      <c r="E50" s="10"/>
      <c r="F50" s="30">
        <f t="shared" si="0"/>
        <v>-5507.12</v>
      </c>
    </row>
    <row r="51" spans="1:6" x14ac:dyDescent="0.2">
      <c r="A51" s="10" t="s">
        <v>38</v>
      </c>
      <c r="B51" s="11">
        <v>-7864.62</v>
      </c>
      <c r="C51" s="12"/>
      <c r="D51" s="11">
        <f t="shared" si="1"/>
        <v>-7864.62</v>
      </c>
      <c r="E51" s="10"/>
      <c r="F51" s="30">
        <f t="shared" si="0"/>
        <v>-7864.62</v>
      </c>
    </row>
    <row r="52" spans="1:6" x14ac:dyDescent="0.2">
      <c r="A52" s="10" t="s">
        <v>39</v>
      </c>
      <c r="B52" s="12"/>
      <c r="C52" s="12"/>
      <c r="D52" s="11">
        <f t="shared" si="1"/>
        <v>0</v>
      </c>
      <c r="E52" s="10"/>
      <c r="F52" s="30">
        <f t="shared" si="0"/>
        <v>0</v>
      </c>
    </row>
    <row r="53" spans="1:6" x14ac:dyDescent="0.2">
      <c r="A53" s="10" t="s">
        <v>40</v>
      </c>
      <c r="B53" s="12"/>
      <c r="C53" s="12"/>
      <c r="D53" s="11">
        <f t="shared" si="1"/>
        <v>0</v>
      </c>
      <c r="E53" s="10"/>
      <c r="F53" s="30">
        <f t="shared" si="0"/>
        <v>0</v>
      </c>
    </row>
    <row r="54" spans="1:6" x14ac:dyDescent="0.2">
      <c r="A54" s="10" t="s">
        <v>41</v>
      </c>
      <c r="B54" s="12">
        <v>3941.53</v>
      </c>
      <c r="C54" s="12"/>
      <c r="D54" s="11">
        <f t="shared" si="1"/>
        <v>3941.53</v>
      </c>
      <c r="E54" s="10"/>
      <c r="F54" s="30">
        <f t="shared" si="0"/>
        <v>3941.53</v>
      </c>
    </row>
    <row r="55" spans="1:6" x14ac:dyDescent="0.2">
      <c r="A55" s="10" t="s">
        <v>42</v>
      </c>
      <c r="B55" s="12">
        <v>2868.42</v>
      </c>
      <c r="C55" s="12"/>
      <c r="D55" s="11">
        <f t="shared" si="1"/>
        <v>2868.42</v>
      </c>
      <c r="E55" s="10"/>
      <c r="F55" s="30">
        <f t="shared" si="0"/>
        <v>2868.42</v>
      </c>
    </row>
    <row r="56" spans="1:6" x14ac:dyDescent="0.2">
      <c r="A56" s="10" t="s">
        <v>43</v>
      </c>
      <c r="B56" s="12"/>
      <c r="C56" s="12"/>
      <c r="D56" s="11">
        <f t="shared" si="1"/>
        <v>0</v>
      </c>
      <c r="E56" s="10"/>
      <c r="F56" s="30">
        <f t="shared" si="0"/>
        <v>0</v>
      </c>
    </row>
    <row r="57" spans="1:6" x14ac:dyDescent="0.2">
      <c r="A57" s="10" t="s">
        <v>44</v>
      </c>
      <c r="B57" s="12">
        <v>1589.83</v>
      </c>
      <c r="C57" s="12"/>
      <c r="D57" s="11">
        <f t="shared" si="1"/>
        <v>1589.83</v>
      </c>
      <c r="E57" s="10"/>
      <c r="F57" s="30">
        <f t="shared" si="0"/>
        <v>1589.83</v>
      </c>
    </row>
    <row r="58" spans="1:6" x14ac:dyDescent="0.2">
      <c r="A58" s="10" t="s">
        <v>45</v>
      </c>
      <c r="B58" s="12"/>
      <c r="C58" s="12"/>
      <c r="D58" s="11">
        <f t="shared" si="1"/>
        <v>0</v>
      </c>
      <c r="E58" s="10"/>
      <c r="F58" s="30">
        <f t="shared" si="0"/>
        <v>0</v>
      </c>
    </row>
    <row r="59" spans="1:6" x14ac:dyDescent="0.2">
      <c r="A59" s="10" t="s">
        <v>46</v>
      </c>
      <c r="B59" s="12"/>
      <c r="C59" s="12"/>
      <c r="D59" s="11">
        <f t="shared" si="1"/>
        <v>0</v>
      </c>
      <c r="E59" s="10"/>
      <c r="F59" s="30">
        <f t="shared" si="0"/>
        <v>0</v>
      </c>
    </row>
    <row r="60" spans="1:6" x14ac:dyDescent="0.2">
      <c r="A60" s="10" t="s">
        <v>47</v>
      </c>
      <c r="B60" s="12">
        <v>2868.42</v>
      </c>
      <c r="C60" s="12"/>
      <c r="D60" s="11">
        <f t="shared" si="1"/>
        <v>2868.42</v>
      </c>
      <c r="E60" s="10"/>
      <c r="F60" s="30">
        <f t="shared" si="0"/>
        <v>2868.42</v>
      </c>
    </row>
    <row r="61" spans="1:6" x14ac:dyDescent="0.2">
      <c r="A61" s="10" t="s">
        <v>48</v>
      </c>
      <c r="B61" s="12"/>
      <c r="C61" s="10"/>
      <c r="D61" s="11">
        <f t="shared" si="1"/>
        <v>0</v>
      </c>
      <c r="E61" s="10"/>
      <c r="F61" s="30">
        <f t="shared" si="0"/>
        <v>0</v>
      </c>
    </row>
    <row r="65" spans="1:7" x14ac:dyDescent="0.2">
      <c r="A65" s="14" t="s">
        <v>54</v>
      </c>
    </row>
    <row r="66" spans="1:7" ht="78" customHeight="1" x14ac:dyDescent="0.2">
      <c r="A66" s="15" t="s">
        <v>55</v>
      </c>
      <c r="B66" s="15"/>
      <c r="C66" s="15"/>
      <c r="D66" s="15"/>
      <c r="E66" s="15"/>
      <c r="F66" s="15"/>
      <c r="G66" s="15"/>
    </row>
  </sheetData>
  <mergeCells count="6">
    <mergeCell ref="A1:E1"/>
    <mergeCell ref="A2:E2"/>
    <mergeCell ref="A30:F30"/>
    <mergeCell ref="A66:G66"/>
    <mergeCell ref="A4:E4"/>
    <mergeCell ref="A5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expensas rosales Octubre 2023.xlsx</dc:title>
  <dc:creator>Inti Perez</dc:creator>
  <cp:lastModifiedBy>Sistemax</cp:lastModifiedBy>
  <dcterms:created xsi:type="dcterms:W3CDTF">2023-12-28T13:55:29Z</dcterms:created>
  <dcterms:modified xsi:type="dcterms:W3CDTF">2023-12-29T14:35:39Z</dcterms:modified>
</cp:coreProperties>
</file>