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Junio\"/>
    </mc:Choice>
  </mc:AlternateContent>
  <xr:revisionPtr revIDLastSave="0" documentId="13_ncr:1_{C7AE606E-4B21-4258-AF41-6D2CB9122C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gastos'!$A$1:$C$63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L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F29" i="1"/>
  <c r="F15" i="1"/>
  <c r="F27" i="1" l="1"/>
  <c r="F26" i="1"/>
  <c r="F8" i="1" l="1"/>
  <c r="C22" i="3" l="1"/>
  <c r="C31" i="3"/>
  <c r="B28" i="1" l="1"/>
  <c r="B1" i="1" l="1"/>
  <c r="F11" i="1"/>
  <c r="F19" i="1"/>
  <c r="O27" i="1" s="1"/>
  <c r="F6" i="1"/>
  <c r="F3" i="1"/>
  <c r="J7" i="4"/>
  <c r="F13" i="1" l="1"/>
  <c r="F24" i="1"/>
  <c r="C32" i="3" l="1"/>
  <c r="C49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1" i="3"/>
  <c r="C57" i="3" s="1"/>
  <c r="C50" i="3" l="1"/>
  <c r="C52" i="3" s="1"/>
  <c r="L31" i="1"/>
  <c r="C60" i="3" l="1"/>
  <c r="C43" i="3" l="1"/>
</calcChain>
</file>

<file path=xl/sharedStrings.xml><?xml version="1.0" encoding="utf-8"?>
<sst xmlns="http://schemas.openxmlformats.org/spreadsheetml/2006/main" count="183" uniqueCount="134">
  <si>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</si>
  <si>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</si>
  <si>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</si>
  <si>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</si>
  <si>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</si>
  <si>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</si>
  <si>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</si>
  <si>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</si>
  <si>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</si>
  <si>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</si>
  <si>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</si>
  <si>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</si>
  <si>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</si>
  <si>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</si>
  <si>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</si>
  <si>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</si>
  <si>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</si>
  <si>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</si>
  <si>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</si>
  <si>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</si>
  <si>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</si>
  <si>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</si>
  <si>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</si>
  <si>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</si>
  <si>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</si>
  <si>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</si>
  <si>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</si>
  <si>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</si>
  <si>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</si>
  <si>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</si>
  <si>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</si>
  <si>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</si>
  <si>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</si>
  <si>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</si>
  <si>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</si>
  <si>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</si>
  <si>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</si>
  <si>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</si>
  <si>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</si>
  <si>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</si>
  <si>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</si>
  <si>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</si>
  <si>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</si>
  <si>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</si>
  <si>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</si>
  <si>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</si>
  <si>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</si>
  <si>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</si>
  <si>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</si>
  <si>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</si>
  <si>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</si>
  <si>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</si>
  <si>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</si>
  <si>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</si>
  <si>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</si>
  <si>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</si>
  <si>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</si>
  <si>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</si>
  <si>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</si>
  <si>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</si>
  <si>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</si>
  <si>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</si>
  <si>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</si>
  <si>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</si>
  <si>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</si>
  <si>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</si>
  <si>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</si>
  <si>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</si>
  <si>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</si>
  <si>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</si>
  <si>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</si>
  <si>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</si>
  <si>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</si>
  <si>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</si>
  <si>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</si>
  <si>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</si>
  <si>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</si>
  <si>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</si>
  <si>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</si>
  <si>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</si>
  <si>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</si>
  <si>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</si>
  <si>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</si>
  <si>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</si>
  <si>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</si>
  <si>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</si>
  <si>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</si>
  <si>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</si>
  <si>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</si>
  <si>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</si>
  <si>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</si>
  <si>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</si>
  <si>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</si>
  <si>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</si>
  <si>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</si>
  <si>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</si>
  <si>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</si>
  <si>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</si>
  <si>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</si>
  <si>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</si>
  <si>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</si>
  <si>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</si>
  <si>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</si>
  <si>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</si>
  <si>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</si>
  <si>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</si>
  <si>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</si>
  <si>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</si>
  <si>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</si>
  <si>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</si>
  <si>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</si>
  <si>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</si>
  <si>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</si>
  <si>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</si>
  <si>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</si>
  <si>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</si>
  <si>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</si>
  <si>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Subidos en ABR 2025</t>
  </si>
  <si>
    <t>Matias Salvatierra - Desobstruccion de colectora cloacal</t>
  </si>
  <si>
    <t>Casa Koruk - Botas de encargada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</si>
  <si>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</si>
  <si>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</si>
  <si>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</si>
  <si>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</si>
  <si>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</si>
  <si>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</si>
  <si>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</si>
  <si>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El 4B abonó parte de la deuda que tiene hasta Octubre de 2024 con la constructora, entendiendo que este mes cancela el resto</t>
  </si>
  <si>
    <t>Seguro de consorcio obligatorio -  federacion patronal - poliza nro. 2027630</t>
  </si>
  <si>
    <t>Vto. 14/07</t>
  </si>
  <si>
    <t>LIQUIDACIÓN EXPENSAS JUNIO 2025</t>
  </si>
  <si>
    <t>Fumigacion mes de JUNIO</t>
  </si>
  <si>
    <t>EGRESOS DEL MES DE JUNIO</t>
  </si>
  <si>
    <t>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</si>
</sst>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  <numFmt numFmtId="175" formatCode="_-[$$-2C0A]\ * #,##0.00_-;\-[$$-2C0A]\ * #,##0.00_-;_-[$$-2C0A]\ 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/>
    <xf numFmtId="171" fontId="25" fillId="6" borderId="15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164" fontId="6" fillId="5" borderId="4" xfId="2" applyNumberFormat="1" applyFont="1" applyFill="1" applyBorder="1"/>
    <xf numFmtId="164" fontId="6" fillId="6" borderId="4" xfId="2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172" fontId="31" fillId="5" borderId="1" xfId="0" applyNumberFormat="1" applyFont="1" applyFill="1" applyBorder="1"/>
    <xf numFmtId="0" fontId="0" fillId="5" borderId="5" xfId="0" applyFill="1" applyBorder="1"/>
    <xf numFmtId="164" fontId="20" fillId="5" borderId="4" xfId="2" applyNumberFormat="1" applyFont="1" applyFill="1" applyBorder="1"/>
    <xf numFmtId="16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5" fontId="9" fillId="11" borderId="0" xfId="0" applyNumberFormat="1" applyFont="1" applyFill="1"/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5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  <xf numFmtId="4" fontId="14" fillId="5" borderId="1" xfId="0" applyNumberFormat="1" applyFont="1" applyFill="1" applyBorder="1"/>
    <xf numFmtId="0" fontId="0" fillId="6" borderId="5" xfId="0" applyFill="1" applyBorder="1"/>
    <xf numFmtId="4" fontId="14" fillId="5" borderId="1" xfId="0" applyNumberFormat="1" applyFont="1" applyFill="1" applyBorder="1" applyAlignment="1">
      <alignment horizontal="right"/>
    </xf>
    <xf numFmtId="4" fontId="10" fillId="6" borderId="1" xfId="0" applyNumberFormat="1" applyFont="1" applyFill="1" applyBorder="1"/>
    <xf numFmtId="4" fontId="14" fillId="6" borderId="1" xfId="0" applyNumberFormat="1" applyFont="1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4"/>
  <sheetViews>
    <sheetView tabSelected="1" topLeftCell="A16" workbookViewId="0">
      <selection activeCell="C25" sqref="C25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130</v>
      </c>
      <c r="C7" s="17" t="s">
        <v>129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128</v>
      </c>
      <c r="B18" s="38"/>
      <c r="C18" s="235">
        <v>76654</v>
      </c>
      <c r="D18" s="4"/>
      <c r="E18" s="6"/>
    </row>
    <row r="19" spans="1:6" x14ac:dyDescent="0.25">
      <c r="A19" s="28" t="s">
        <v>10</v>
      </c>
      <c r="B19" s="39"/>
      <c r="C19" s="233">
        <v>308535.11</v>
      </c>
      <c r="D19" s="20"/>
      <c r="F19" s="6"/>
    </row>
    <row r="20" spans="1:6" x14ac:dyDescent="0.25">
      <c r="A20" s="28" t="s">
        <v>26</v>
      </c>
      <c r="B20" s="39"/>
      <c r="C20" s="33">
        <v>65000</v>
      </c>
      <c r="D20" s="20"/>
      <c r="F20" s="6"/>
    </row>
    <row r="21" spans="1:6" x14ac:dyDescent="0.25">
      <c r="A21" s="28" t="s">
        <v>11</v>
      </c>
      <c r="B21" s="39" t="s">
        <v>23</v>
      </c>
      <c r="C21" s="234">
        <v>78682.460000000006</v>
      </c>
      <c r="D21" s="4"/>
      <c r="E21" s="6"/>
      <c r="F21" t="s">
        <v>117</v>
      </c>
    </row>
    <row r="22" spans="1:6" x14ac:dyDescent="0.25">
      <c r="A22" s="40"/>
      <c r="B22" s="41"/>
      <c r="C22" s="23">
        <f>SUM(C17:C21)</f>
        <v>528871.56999999995</v>
      </c>
    </row>
    <row r="23" spans="1:6" x14ac:dyDescent="0.25">
      <c r="A23" s="35" t="s">
        <v>12</v>
      </c>
      <c r="B23" s="39"/>
      <c r="C23" s="218"/>
    </row>
    <row r="24" spans="1:6" ht="15.75" x14ac:dyDescent="0.25">
      <c r="A24" s="28" t="s">
        <v>114</v>
      </c>
      <c r="B24" s="42"/>
      <c r="C24" s="33">
        <v>349151.87</v>
      </c>
      <c r="D24" s="45"/>
      <c r="F24" s="12"/>
    </row>
    <row r="25" spans="1:6" ht="15.75" x14ac:dyDescent="0.25">
      <c r="A25" s="28" t="s">
        <v>115</v>
      </c>
      <c r="B25" s="42"/>
      <c r="C25" s="231">
        <v>5684</v>
      </c>
      <c r="D25" s="45"/>
      <c r="F25" s="12"/>
    </row>
    <row r="26" spans="1:6" ht="15.75" x14ac:dyDescent="0.25">
      <c r="A26" s="140" t="s">
        <v>118</v>
      </c>
      <c r="B26" s="141"/>
      <c r="C26" s="33">
        <v>56650</v>
      </c>
      <c r="D26" s="45"/>
      <c r="F26" s="12"/>
    </row>
    <row r="27" spans="1:6" ht="15.75" x14ac:dyDescent="0.25">
      <c r="A27" s="214" t="s">
        <v>119</v>
      </c>
      <c r="B27" s="141"/>
      <c r="C27" s="33">
        <v>20000</v>
      </c>
      <c r="D27" s="45"/>
      <c r="F27" s="12"/>
    </row>
    <row r="28" spans="1:6" ht="15.75" x14ac:dyDescent="0.25">
      <c r="A28" s="232" t="s">
        <v>133</v>
      </c>
      <c r="B28" s="141"/>
      <c r="C28" s="231">
        <v>65000</v>
      </c>
      <c r="D28" s="45"/>
      <c r="F28" s="12"/>
    </row>
    <row r="29" spans="1:6" ht="15.75" x14ac:dyDescent="0.25">
      <c r="A29" s="28" t="s">
        <v>131</v>
      </c>
      <c r="B29" s="42"/>
      <c r="C29" s="231">
        <v>45000</v>
      </c>
      <c r="F29" s="12"/>
    </row>
    <row r="30" spans="1:6" ht="15.75" x14ac:dyDescent="0.25">
      <c r="A30" s="28" t="s">
        <v>108</v>
      </c>
      <c r="B30" s="39"/>
      <c r="C30" s="34"/>
      <c r="D30" s="4"/>
      <c r="E30" s="6"/>
      <c r="F30" s="12"/>
    </row>
    <row r="31" spans="1:6" ht="15.75" x14ac:dyDescent="0.25">
      <c r="A31" s="40"/>
      <c r="B31" s="41"/>
      <c r="C31" s="23">
        <f>SUM(C23:C30)</f>
        <v>541485.87</v>
      </c>
      <c r="F31" s="12"/>
    </row>
    <row r="32" spans="1:6" ht="15.75" x14ac:dyDescent="0.25">
      <c r="A32" s="30" t="s">
        <v>6</v>
      </c>
      <c r="B32" s="30"/>
      <c r="C32" s="43">
        <f>+C31+C22</f>
        <v>1070357.44</v>
      </c>
      <c r="F32" s="12"/>
    </row>
    <row r="33" spans="1:6" ht="15.75" x14ac:dyDescent="0.25">
      <c r="C33" s="24"/>
      <c r="F33" s="12"/>
    </row>
    <row r="34" spans="1:6" ht="15.75" x14ac:dyDescent="0.25">
      <c r="A34" s="13" t="s">
        <v>18</v>
      </c>
      <c r="C34" s="24"/>
      <c r="F34" s="12"/>
    </row>
    <row r="35" spans="1:6" ht="15.75" x14ac:dyDescent="0.25">
      <c r="A35" s="28"/>
      <c r="B35" s="28"/>
      <c r="C35" s="33"/>
      <c r="F35" s="12"/>
    </row>
    <row r="36" spans="1:6" ht="15.75" x14ac:dyDescent="0.25">
      <c r="A36" s="28"/>
      <c r="B36" s="28"/>
      <c r="C36" s="34"/>
      <c r="F36" s="12"/>
    </row>
    <row r="37" spans="1:6" ht="15.75" x14ac:dyDescent="0.25">
      <c r="A37" s="28"/>
      <c r="B37" s="28"/>
      <c r="C37" s="34"/>
      <c r="F37" s="12"/>
    </row>
    <row r="38" spans="1:6" ht="15.75" x14ac:dyDescent="0.25">
      <c r="C38" s="25"/>
      <c r="F38" s="12"/>
    </row>
    <row r="39" spans="1:6" ht="15.75" x14ac:dyDescent="0.25">
      <c r="A39" s="219" t="s">
        <v>122</v>
      </c>
      <c r="B39" s="219"/>
      <c r="C39" s="220">
        <v>1000000</v>
      </c>
      <c r="F39" s="12"/>
    </row>
    <row r="40" spans="1:6" ht="15.75" x14ac:dyDescent="0.25">
      <c r="C40" s="25"/>
      <c r="F40" s="12"/>
    </row>
    <row r="41" spans="1:6" x14ac:dyDescent="0.25">
      <c r="A41" s="13" t="s">
        <v>15</v>
      </c>
      <c r="B41" s="13"/>
      <c r="C41" s="14">
        <f>+C35+C36+C37+C40</f>
        <v>0</v>
      </c>
      <c r="E41" s="6"/>
    </row>
    <row r="43" spans="1:6" x14ac:dyDescent="0.25">
      <c r="A43" s="18" t="s">
        <v>7</v>
      </c>
      <c r="B43" s="18"/>
      <c r="C43" s="19">
        <f>+C41+C32</f>
        <v>1070357.44</v>
      </c>
    </row>
    <row r="45" spans="1:6" x14ac:dyDescent="0.25">
      <c r="A45" s="4"/>
    </row>
    <row r="46" spans="1:6" x14ac:dyDescent="0.25">
      <c r="A46" s="4"/>
      <c r="C46" s="163"/>
      <c r="D46" s="5"/>
      <c r="E46" s="5"/>
    </row>
    <row r="47" spans="1:6" ht="15" customHeight="1" thickBot="1" x14ac:dyDescent="0.3">
      <c r="A47" s="4"/>
      <c r="C47" s="163"/>
      <c r="D47" s="6"/>
      <c r="E47" s="6"/>
    </row>
    <row r="48" spans="1:6" ht="15.75" thickBot="1" x14ac:dyDescent="0.3">
      <c r="A48" s="164" t="s">
        <v>120</v>
      </c>
      <c r="B48" s="162"/>
      <c r="C48" s="165">
        <v>-664175.24157355423</v>
      </c>
      <c r="D48" s="6"/>
      <c r="E48" s="6"/>
    </row>
    <row r="49" spans="1:6" ht="15.75" thickBot="1" x14ac:dyDescent="0.3">
      <c r="A49" s="164" t="s">
        <v>132</v>
      </c>
      <c r="B49" s="162"/>
      <c r="C49" s="167">
        <f>-(C32-C30)</f>
        <v>-1070357.44</v>
      </c>
      <c r="D49" s="6"/>
      <c r="E49" s="6"/>
    </row>
    <row r="50" spans="1:6" ht="15.75" thickBot="1" x14ac:dyDescent="0.3">
      <c r="A50" s="164" t="s">
        <v>113</v>
      </c>
      <c r="B50" s="162"/>
      <c r="C50" s="211">
        <f>'prorrateo '!F31</f>
        <v>1137720.7895689341</v>
      </c>
    </row>
    <row r="51" spans="1:6" hidden="1" x14ac:dyDescent="0.25">
      <c r="A51" s="168"/>
      <c r="C51" s="169"/>
    </row>
    <row r="52" spans="1:6" ht="15.75" thickBot="1" x14ac:dyDescent="0.3">
      <c r="A52" s="166" t="s">
        <v>8</v>
      </c>
      <c r="B52" s="161"/>
      <c r="C52" s="170">
        <f>SUM(C46:C50)</f>
        <v>-596811.89200462005</v>
      </c>
      <c r="D52" s="5"/>
    </row>
    <row r="53" spans="1:6" ht="12.75" customHeight="1" x14ac:dyDescent="0.25">
      <c r="A53" s="9"/>
      <c r="B53" s="8"/>
      <c r="C53" s="10"/>
    </row>
    <row r="54" spans="1:6" hidden="1" x14ac:dyDescent="0.25">
      <c r="A54" s="221"/>
      <c r="B54" s="221"/>
      <c r="C54" s="221"/>
      <c r="F54" s="44"/>
    </row>
    <row r="55" spans="1:6" ht="46.5" hidden="1" customHeight="1" x14ac:dyDescent="0.25">
      <c r="A55" s="222"/>
      <c r="B55" s="222"/>
      <c r="C55" s="222"/>
    </row>
    <row r="56" spans="1:6" ht="0.75" hidden="1" customHeight="1" x14ac:dyDescent="0.25">
      <c r="A56" s="26" t="s">
        <v>21</v>
      </c>
      <c r="B56" s="27"/>
      <c r="C56" s="29"/>
    </row>
    <row r="57" spans="1:6" hidden="1" x14ac:dyDescent="0.25">
      <c r="A57" s="28" t="s">
        <v>24</v>
      </c>
      <c r="B57" s="28"/>
      <c r="C57" s="31">
        <f>-C41</f>
        <v>0</v>
      </c>
    </row>
    <row r="58" spans="1:6" hidden="1" x14ac:dyDescent="0.25">
      <c r="A58" s="28"/>
      <c r="B58" s="28"/>
      <c r="C58" s="31"/>
    </row>
    <row r="59" spans="1:6" hidden="1" x14ac:dyDescent="0.25">
      <c r="A59" s="28"/>
      <c r="B59" s="28"/>
      <c r="C59" s="32"/>
    </row>
    <row r="60" spans="1:6" hidden="1" x14ac:dyDescent="0.25">
      <c r="A60" s="171" t="s">
        <v>0</v>
      </c>
      <c r="B60" s="172"/>
      <c r="C60" s="173">
        <f>SUM(C56:C59)</f>
        <v>0</v>
      </c>
    </row>
    <row r="61" spans="1:6" x14ac:dyDescent="0.25">
      <c r="A61" s="8"/>
      <c r="B61" s="8"/>
      <c r="C61" s="8"/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  <row r="64" spans="1:6" x14ac:dyDescent="0.25">
      <c r="A64" s="8"/>
      <c r="B64" s="8"/>
      <c r="C64" s="8"/>
    </row>
  </sheetData>
  <mergeCells count="1">
    <mergeCell ref="A54:C5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topLeftCell="A10" workbookViewId="0">
      <selection activeCell="C14" sqref="C14"/>
    </sheetView>
  </sheetViews>
  <sheetFormatPr baseColWidth="10" defaultRowHeight="15" x14ac:dyDescent="0.25"/>
  <cols>
    <col min="1" max="1" width="19.42578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124</v>
      </c>
      <c r="B1" s="223">
        <f>D1</f>
        <v>1436145.71</v>
      </c>
      <c r="C1" s="223"/>
      <c r="D1" s="145">
        <v>1436145.71</v>
      </c>
      <c r="E1" t="s">
        <v>123</v>
      </c>
      <c r="G1" s="225">
        <v>1000000</v>
      </c>
      <c r="H1" s="225"/>
    </row>
    <row r="2" spans="1:12" ht="34.5" customHeight="1" x14ac:dyDescent="0.25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125</v>
      </c>
      <c r="J2" s="50" t="s">
        <v>126</v>
      </c>
      <c r="K2" s="50" t="s">
        <v>17</v>
      </c>
      <c r="L2" s="51" t="s">
        <v>31</v>
      </c>
    </row>
    <row r="3" spans="1:12" x14ac:dyDescent="0.25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73387.045781000008</v>
      </c>
      <c r="F3" s="215">
        <f>E3</f>
        <v>73387.045781000008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2" x14ac:dyDescent="0.25">
      <c r="A4" s="58" t="s">
        <v>34</v>
      </c>
      <c r="B4" s="59" t="s">
        <v>121</v>
      </c>
      <c r="C4" s="60" t="s">
        <v>35</v>
      </c>
      <c r="D4" s="61">
        <v>5.09</v>
      </c>
      <c r="E4" s="131">
        <v>73099.816638999997</v>
      </c>
      <c r="F4" s="215">
        <f t="shared" ref="F4:F18" si="0">E4</f>
        <v>73099.816638999997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2" x14ac:dyDescent="0.25">
      <c r="A5" s="58" t="s">
        <v>36</v>
      </c>
      <c r="B5" s="59" t="s">
        <v>37</v>
      </c>
      <c r="C5" s="60" t="s">
        <v>38</v>
      </c>
      <c r="D5" s="61">
        <v>5.04</v>
      </c>
      <c r="E5" s="131">
        <v>72381.743783999991</v>
      </c>
      <c r="F5" s="215"/>
      <c r="G5" s="56">
        <f t="shared" si="1"/>
        <v>72381.743783999991</v>
      </c>
      <c r="H5" s="56">
        <f t="shared" si="2"/>
        <v>2895.2697513599996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198058.75731935998</v>
      </c>
    </row>
    <row r="6" spans="1:12" x14ac:dyDescent="0.25">
      <c r="A6" s="58" t="s">
        <v>39</v>
      </c>
      <c r="B6" s="59"/>
      <c r="C6" s="60" t="s">
        <v>40</v>
      </c>
      <c r="D6" s="61">
        <v>5.21</v>
      </c>
      <c r="E6" s="131">
        <v>74823.191491000005</v>
      </c>
      <c r="F6" s="215">
        <f>E6</f>
        <v>74823.191491000005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126923.19149100001</v>
      </c>
    </row>
    <row r="7" spans="1:12" x14ac:dyDescent="0.25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73387.045781000008</v>
      </c>
      <c r="F7" s="215"/>
      <c r="G7" s="56">
        <f t="shared" si="1"/>
        <v>73387.045781000008</v>
      </c>
      <c r="H7" s="56">
        <f t="shared" si="2"/>
        <v>2935.4818312400002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200809.57339324002</v>
      </c>
    </row>
    <row r="8" spans="1:12" x14ac:dyDescent="0.25">
      <c r="A8" s="58" t="s">
        <v>42</v>
      </c>
      <c r="B8" s="59"/>
      <c r="C8" s="60" t="s">
        <v>43</v>
      </c>
      <c r="D8" s="61">
        <v>5.09</v>
      </c>
      <c r="E8" s="131">
        <v>73099.816638999997</v>
      </c>
      <c r="F8" s="215">
        <f>E8</f>
        <v>73099.816638999997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2" x14ac:dyDescent="0.25">
      <c r="A9" s="58" t="s">
        <v>44</v>
      </c>
      <c r="B9" s="59"/>
      <c r="C9" s="60" t="s">
        <v>45</v>
      </c>
      <c r="D9" s="61">
        <v>5.1100000000000003</v>
      </c>
      <c r="E9" s="131">
        <v>73387.045781000008</v>
      </c>
      <c r="F9" s="215">
        <f t="shared" si="0"/>
        <v>73387.045781000008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</row>
    <row r="10" spans="1:12" ht="24.75" customHeight="1" x14ac:dyDescent="0.25">
      <c r="A10" s="217" t="s">
        <v>46</v>
      </c>
      <c r="B10" s="191" t="s">
        <v>116</v>
      </c>
      <c r="C10" s="192" t="s">
        <v>47</v>
      </c>
      <c r="D10" s="193">
        <v>5.09</v>
      </c>
      <c r="E10" s="194">
        <v>340386.24919880956</v>
      </c>
      <c r="F10" s="216"/>
      <c r="G10" s="195">
        <f t="shared" si="1"/>
        <v>340386.24919880956</v>
      </c>
      <c r="H10" s="195">
        <f t="shared" si="2"/>
        <v>13615.449967952383</v>
      </c>
      <c r="I10" s="195">
        <f t="shared" si="3"/>
        <v>73099.816638999997</v>
      </c>
      <c r="J10" s="195">
        <f t="shared" si="4"/>
        <v>50900</v>
      </c>
      <c r="K10" s="195"/>
      <c r="L10" s="196">
        <f t="shared" si="5"/>
        <v>478001.51580576197</v>
      </c>
    </row>
    <row r="11" spans="1:12" x14ac:dyDescent="0.25">
      <c r="A11" s="58" t="s">
        <v>112</v>
      </c>
      <c r="B11" s="59"/>
      <c r="C11" s="60" t="s">
        <v>48</v>
      </c>
      <c r="D11" s="61">
        <v>5.04</v>
      </c>
      <c r="E11" s="131">
        <v>72381.743783999991</v>
      </c>
      <c r="F11" s="215">
        <f>E11</f>
        <v>72381.743783999991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2" x14ac:dyDescent="0.25">
      <c r="A12" s="58" t="s">
        <v>49</v>
      </c>
      <c r="B12" s="59"/>
      <c r="C12" s="60" t="s">
        <v>50</v>
      </c>
      <c r="D12" s="61">
        <v>5.21</v>
      </c>
      <c r="E12" s="131">
        <v>74823.191491000005</v>
      </c>
      <c r="F12" s="215">
        <f t="shared" si="0"/>
        <v>74823.191491000005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2" x14ac:dyDescent="0.25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73387.045781000008</v>
      </c>
      <c r="F13" s="215">
        <f>E13</f>
        <v>73387.045781000008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2" x14ac:dyDescent="0.25">
      <c r="A14" s="64" t="s">
        <v>51</v>
      </c>
      <c r="B14" s="142"/>
      <c r="C14" s="65" t="s">
        <v>54</v>
      </c>
      <c r="D14" s="143">
        <v>5.09</v>
      </c>
      <c r="E14" s="131">
        <v>73099.816638999997</v>
      </c>
      <c r="F14" s="215"/>
      <c r="G14" s="66">
        <f t="shared" si="1"/>
        <v>73099.816638999997</v>
      </c>
      <c r="H14" s="66">
        <f t="shared" si="2"/>
        <v>2923.9926655599998</v>
      </c>
      <c r="I14" s="66">
        <f t="shared" si="3"/>
        <v>73099.816638999997</v>
      </c>
      <c r="J14" s="56">
        <f t="shared" si="4"/>
        <v>50900</v>
      </c>
      <c r="K14" s="66"/>
      <c r="L14" s="144">
        <f t="shared" si="5"/>
        <v>200023.62594356001</v>
      </c>
    </row>
    <row r="15" spans="1:12" x14ac:dyDescent="0.25">
      <c r="A15" s="58" t="s">
        <v>55</v>
      </c>
      <c r="B15" s="59" t="s">
        <v>56</v>
      </c>
      <c r="C15" s="60" t="s">
        <v>57</v>
      </c>
      <c r="D15" s="61">
        <v>5.04</v>
      </c>
      <c r="E15" s="131">
        <v>214265.93077245081</v>
      </c>
      <c r="F15" s="215">
        <f>E15</f>
        <v>214265.93077245081</v>
      </c>
      <c r="G15" s="56">
        <f t="shared" si="1"/>
        <v>0</v>
      </c>
      <c r="H15" s="56">
        <f t="shared" si="2"/>
        <v>0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122781.74378399999</v>
      </c>
    </row>
    <row r="16" spans="1:12" x14ac:dyDescent="0.25">
      <c r="A16" s="58" t="s">
        <v>58</v>
      </c>
      <c r="B16" s="59" t="s">
        <v>59</v>
      </c>
      <c r="C16" s="60" t="s">
        <v>60</v>
      </c>
      <c r="D16" s="61">
        <v>5.21</v>
      </c>
      <c r="E16" s="131">
        <v>74823.191491000005</v>
      </c>
      <c r="F16" s="215"/>
      <c r="G16" s="56">
        <f t="shared" si="1"/>
        <v>74823.191491000005</v>
      </c>
      <c r="H16" s="56">
        <f t="shared" si="2"/>
        <v>2992.9276596400005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204739.31064164001</v>
      </c>
    </row>
    <row r="17" spans="1:15" x14ac:dyDescent="0.25">
      <c r="A17" s="58" t="s">
        <v>61</v>
      </c>
      <c r="B17" s="59"/>
      <c r="C17" s="60" t="s">
        <v>62</v>
      </c>
      <c r="D17" s="61">
        <v>5.04</v>
      </c>
      <c r="E17" s="131">
        <v>72381.743783999991</v>
      </c>
      <c r="F17" s="215">
        <f t="shared" si="0"/>
        <v>72381.743783999991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25">
      <c r="A18" s="62" t="s">
        <v>63</v>
      </c>
      <c r="B18" s="63"/>
      <c r="C18" s="60" t="s">
        <v>64</v>
      </c>
      <c r="D18" s="61">
        <v>5.21</v>
      </c>
      <c r="E18" s="131">
        <v>74823.191491000005</v>
      </c>
      <c r="F18" s="215">
        <f t="shared" si="0"/>
        <v>74823.191491000005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25">
      <c r="A19" s="58" t="s">
        <v>65</v>
      </c>
      <c r="B19" s="59"/>
      <c r="C19" s="60" t="s">
        <v>66</v>
      </c>
      <c r="D19" s="61">
        <v>7.4</v>
      </c>
      <c r="E19" s="131">
        <v>106274.78254</v>
      </c>
      <c r="F19" s="215">
        <f>E19</f>
        <v>106274.78254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25">
      <c r="A20" s="190"/>
      <c r="B20" s="191" t="s">
        <v>116</v>
      </c>
      <c r="C20" s="192" t="s">
        <v>67</v>
      </c>
      <c r="D20" s="193">
        <v>1.08</v>
      </c>
      <c r="E20" s="194">
        <v>72223.408474403608</v>
      </c>
      <c r="F20" s="216">
        <v>0</v>
      </c>
      <c r="G20" s="195">
        <f t="shared" si="1"/>
        <v>72223.408474403608</v>
      </c>
      <c r="H20" s="195">
        <f t="shared" si="2"/>
        <v>2888.9363389761443</v>
      </c>
      <c r="I20" s="195">
        <f t="shared" si="3"/>
        <v>15510.373668</v>
      </c>
      <c r="J20" s="195">
        <f t="shared" si="4"/>
        <v>10800</v>
      </c>
      <c r="K20" s="195"/>
      <c r="L20" s="196">
        <f t="shared" si="5"/>
        <v>101422.71848137975</v>
      </c>
    </row>
    <row r="21" spans="1:15" x14ac:dyDescent="0.25">
      <c r="A21" s="64"/>
      <c r="B21" s="59" t="s">
        <v>59</v>
      </c>
      <c r="C21" s="65" t="s">
        <v>68</v>
      </c>
      <c r="D21" s="61">
        <v>1.08</v>
      </c>
      <c r="E21" s="131">
        <v>15510.373668</v>
      </c>
      <c r="F21" s="188"/>
      <c r="G21" s="56">
        <f t="shared" si="1"/>
        <v>15510.373668</v>
      </c>
      <c r="H21" s="56">
        <f t="shared" si="2"/>
        <v>620.41494671999999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42441.162282719997</v>
      </c>
    </row>
    <row r="22" spans="1:15" x14ac:dyDescent="0.25">
      <c r="A22" s="146"/>
      <c r="B22" s="147"/>
      <c r="C22" s="148" t="s">
        <v>69</v>
      </c>
      <c r="D22" s="149">
        <v>1.08</v>
      </c>
      <c r="E22" s="150">
        <v>72223.408474403608</v>
      </c>
      <c r="F22" s="189">
        <v>0</v>
      </c>
      <c r="G22" s="151">
        <f t="shared" si="1"/>
        <v>72223.408474403608</v>
      </c>
      <c r="H22" s="151">
        <f t="shared" si="2"/>
        <v>2888.9363389761443</v>
      </c>
      <c r="I22" s="151">
        <f t="shared" si="3"/>
        <v>15510.373668</v>
      </c>
      <c r="J22" s="151">
        <f t="shared" si="4"/>
        <v>10800</v>
      </c>
      <c r="K22" s="151"/>
      <c r="L22" s="152">
        <f t="shared" si="5"/>
        <v>101422.71848137975</v>
      </c>
    </row>
    <row r="23" spans="1:15" x14ac:dyDescent="0.25">
      <c r="A23" s="58"/>
      <c r="B23" s="59" t="s">
        <v>37</v>
      </c>
      <c r="C23" s="60" t="s">
        <v>70</v>
      </c>
      <c r="D23" s="61">
        <v>1.08</v>
      </c>
      <c r="E23" s="131">
        <v>15510.373668</v>
      </c>
      <c r="F23" s="188"/>
      <c r="G23" s="56">
        <f t="shared" si="1"/>
        <v>15510.373668</v>
      </c>
      <c r="H23" s="56">
        <f t="shared" si="2"/>
        <v>620.41494671999999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42441.162282719997</v>
      </c>
    </row>
    <row r="24" spans="1:15" x14ac:dyDescent="0.25">
      <c r="A24" s="58" t="s">
        <v>51</v>
      </c>
      <c r="B24" s="59" t="s">
        <v>52</v>
      </c>
      <c r="C24" s="60" t="s">
        <v>71</v>
      </c>
      <c r="D24" s="61">
        <v>1.08</v>
      </c>
      <c r="E24" s="131">
        <v>15510.373668</v>
      </c>
      <c r="F24" s="215">
        <f>E24</f>
        <v>15510.373668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25">
      <c r="A25" s="58" t="s">
        <v>51</v>
      </c>
      <c r="B25" s="59"/>
      <c r="C25" s="60" t="s">
        <v>72</v>
      </c>
      <c r="D25" s="61">
        <v>1.08</v>
      </c>
      <c r="E25" s="131">
        <v>15510.373668</v>
      </c>
      <c r="F25" s="215"/>
      <c r="G25" s="56">
        <f t="shared" si="1"/>
        <v>15510.373668</v>
      </c>
      <c r="H25" s="56">
        <f t="shared" si="2"/>
        <v>620.41494671999999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42441.162282719997</v>
      </c>
    </row>
    <row r="26" spans="1:15" x14ac:dyDescent="0.25">
      <c r="A26" s="58" t="s">
        <v>65</v>
      </c>
      <c r="B26" s="59"/>
      <c r="C26" s="60" t="s">
        <v>73</v>
      </c>
      <c r="D26" s="61">
        <v>1.08</v>
      </c>
      <c r="E26" s="131">
        <v>15510.373668</v>
      </c>
      <c r="F26" s="215">
        <f t="shared" ref="F26:F27" si="6">E26</f>
        <v>15510.373668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25">
      <c r="A27" s="58" t="s">
        <v>65</v>
      </c>
      <c r="B27" s="67"/>
      <c r="C27" s="60" t="s">
        <v>74</v>
      </c>
      <c r="D27" s="61">
        <v>1.08</v>
      </c>
      <c r="E27" s="131">
        <v>15510.373668</v>
      </c>
      <c r="F27" s="215">
        <f t="shared" si="6"/>
        <v>15510.373668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137295.52987600002</v>
      </c>
    </row>
    <row r="28" spans="1:15" x14ac:dyDescent="0.25">
      <c r="A28" s="68"/>
      <c r="B28" s="67" t="str">
        <f>B7</f>
        <v>Leandro</v>
      </c>
      <c r="C28" s="60" t="s">
        <v>75</v>
      </c>
      <c r="D28" s="61">
        <v>1.08</v>
      </c>
      <c r="E28" s="131">
        <v>15510.373668</v>
      </c>
      <c r="F28" s="215"/>
      <c r="G28" s="56">
        <f t="shared" si="1"/>
        <v>15510.373668</v>
      </c>
      <c r="H28" s="56">
        <f t="shared" si="2"/>
        <v>620.41494671999999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42441.162282719997</v>
      </c>
    </row>
    <row r="29" spans="1:15" x14ac:dyDescent="0.25">
      <c r="A29" s="68" t="s">
        <v>55</v>
      </c>
      <c r="B29" s="59" t="s">
        <v>56</v>
      </c>
      <c r="C29" s="60" t="s">
        <v>76</v>
      </c>
      <c r="D29" s="61">
        <v>1.08</v>
      </c>
      <c r="E29" s="131">
        <v>35055.122590483195</v>
      </c>
      <c r="F29" s="215">
        <f>E29</f>
        <v>35055.122590483195</v>
      </c>
      <c r="G29" s="56">
        <f t="shared" si="1"/>
        <v>0</v>
      </c>
      <c r="H29" s="56">
        <f t="shared" si="2"/>
        <v>0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26310.373668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1137720.7895689341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3310334.7228552024</v>
      </c>
    </row>
    <row r="32" spans="1:15" x14ac:dyDescent="0.25">
      <c r="J32" s="22"/>
    </row>
    <row r="33" spans="1:12" x14ac:dyDescent="0.25">
      <c r="A33" s="224" t="s">
        <v>127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</row>
    <row r="35" spans="1:12" x14ac:dyDescent="0.2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36" spans="1:12" x14ac:dyDescent="0.25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</row>
    <row r="40" spans="1:12" x14ac:dyDescent="0.25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1" workbookViewId="0">
      <selection activeCell="C9" sqref="C9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6" t="s">
        <v>79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8"/>
      <c r="O1" s="78"/>
    </row>
    <row r="2" spans="1:19" x14ac:dyDescent="0.25">
      <c r="A2" s="79"/>
      <c r="B2" s="79"/>
      <c r="C2" s="177"/>
      <c r="D2" s="177"/>
      <c r="E2" s="177"/>
      <c r="F2" s="177"/>
      <c r="G2" s="177"/>
      <c r="H2" s="178"/>
      <c r="I2" s="177"/>
      <c r="J2" s="177"/>
      <c r="K2" s="177"/>
      <c r="L2" s="177"/>
      <c r="M2" s="177"/>
      <c r="N2" s="177"/>
      <c r="O2" s="80"/>
      <c r="P2" s="11"/>
    </row>
    <row r="3" spans="1:19" x14ac:dyDescent="0.25">
      <c r="A3" s="82"/>
      <c r="B3" s="82"/>
      <c r="C3" s="179"/>
      <c r="D3" s="179"/>
      <c r="E3" s="179"/>
      <c r="F3" s="179"/>
      <c r="G3" s="179"/>
      <c r="H3" s="178"/>
      <c r="I3" s="177"/>
      <c r="J3" s="177"/>
      <c r="K3" s="177"/>
      <c r="L3" s="177"/>
      <c r="M3" s="177"/>
      <c r="N3" s="177"/>
      <c r="O3" s="80"/>
      <c r="P3" s="11"/>
    </row>
    <row r="4" spans="1:19" x14ac:dyDescent="0.25">
      <c r="A4" s="82"/>
      <c r="B4" s="82"/>
      <c r="C4" s="179"/>
      <c r="D4" s="179"/>
      <c r="E4" s="179"/>
      <c r="F4" s="179"/>
      <c r="G4" s="179"/>
      <c r="H4" s="178"/>
      <c r="I4" s="177" t="s">
        <v>78</v>
      </c>
      <c r="J4" s="177"/>
      <c r="K4" s="177"/>
      <c r="L4" s="177"/>
      <c r="M4" s="177"/>
      <c r="N4" s="177"/>
      <c r="O4" s="80"/>
      <c r="P4" s="11"/>
    </row>
    <row r="5" spans="1:19" x14ac:dyDescent="0.25">
      <c r="A5" s="82"/>
      <c r="B5" s="82"/>
      <c r="C5" s="179"/>
      <c r="D5" s="179"/>
      <c r="E5" s="179"/>
      <c r="F5" s="179"/>
      <c r="G5" s="179"/>
      <c r="H5" s="178"/>
      <c r="I5" s="177"/>
      <c r="J5" s="177"/>
      <c r="K5" s="177"/>
      <c r="L5" s="177"/>
      <c r="M5" s="177"/>
      <c r="N5" s="177"/>
      <c r="O5" s="80"/>
      <c r="P5" s="11"/>
    </row>
    <row r="6" spans="1:19" x14ac:dyDescent="0.25">
      <c r="A6" s="82"/>
      <c r="B6" s="82"/>
      <c r="C6" s="177"/>
      <c r="D6" s="28"/>
      <c r="E6" s="177"/>
      <c r="F6" s="177"/>
      <c r="G6" s="177"/>
      <c r="H6" s="178"/>
      <c r="I6" s="177"/>
      <c r="J6" s="177"/>
      <c r="K6" s="177"/>
      <c r="L6" s="177"/>
      <c r="M6" s="177"/>
      <c r="N6" s="177"/>
      <c r="O6" s="80"/>
      <c r="P6" s="11"/>
    </row>
    <row r="7" spans="1:19" ht="19.5" customHeight="1" x14ac:dyDescent="0.25">
      <c r="A7" s="83"/>
      <c r="B7" s="83" t="s">
        <v>79</v>
      </c>
      <c r="C7" s="213">
        <v>265595.11</v>
      </c>
      <c r="D7" s="28"/>
      <c r="E7" s="177"/>
      <c r="F7" s="177" t="s">
        <v>110</v>
      </c>
      <c r="G7" s="177"/>
      <c r="H7" s="178"/>
      <c r="I7" s="177"/>
      <c r="J7" s="177" t="str">
        <f>'detalle y gastos'!C7</f>
        <v>Vto. 14/07</v>
      </c>
      <c r="K7" s="177"/>
      <c r="L7" s="177"/>
      <c r="M7" s="177"/>
      <c r="N7" s="177"/>
      <c r="O7" s="80"/>
      <c r="P7" s="11"/>
    </row>
    <row r="8" spans="1:19" hidden="1" x14ac:dyDescent="0.25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-159634.85269999999</v>
      </c>
      <c r="L8" s="230">
        <f>C7-J38</f>
        <v>105960.2573</v>
      </c>
      <c r="M8" s="230"/>
      <c r="N8" s="86"/>
      <c r="O8" s="80"/>
      <c r="P8" s="11"/>
    </row>
    <row r="9" spans="1:19" ht="28.5" customHeight="1" x14ac:dyDescent="0.25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25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3008.7</v>
      </c>
      <c r="G10" s="105">
        <v>3122.7</v>
      </c>
      <c r="H10" s="106">
        <f>G10-F10</f>
        <v>114</v>
      </c>
      <c r="I10" s="107">
        <f t="shared" ref="I10:I37" si="0">H10*7%</f>
        <v>7.98</v>
      </c>
      <c r="J10" s="118">
        <f>M10*93.787</f>
        <v>10691.718000000001</v>
      </c>
      <c r="K10" s="108">
        <f>K8*E10%</f>
        <v>-8157.3409729700006</v>
      </c>
      <c r="L10" s="129">
        <f>L$8*E10/S$12</f>
        <v>5414.5691480300002</v>
      </c>
      <c r="M10" s="109">
        <f>G10-F10</f>
        <v>114</v>
      </c>
      <c r="N10" s="106">
        <f>J10+L10</f>
        <v>16106.287148030002</v>
      </c>
      <c r="O10" s="99">
        <f>N10+'prorrateo '!L3</f>
        <v>140593.33292903</v>
      </c>
      <c r="P10" s="11"/>
    </row>
    <row r="11" spans="1:19" x14ac:dyDescent="0.25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3024.8</v>
      </c>
      <c r="G11" s="105">
        <v>3093.6</v>
      </c>
      <c r="H11" s="106">
        <f t="shared" ref="H11:H27" si="1">G11-F11</f>
        <v>68.799999999999727</v>
      </c>
      <c r="I11" s="107">
        <f t="shared" si="0"/>
        <v>4.8159999999999812</v>
      </c>
      <c r="J11" s="118">
        <f t="shared" ref="J11:J26" si="2">M11*93.787</f>
        <v>6452.5455999999749</v>
      </c>
      <c r="K11" s="108">
        <f>K8*E11%</f>
        <v>-8125.4140024299995</v>
      </c>
      <c r="L11" s="129">
        <f t="shared" ref="L11:L36" si="3">L$8*E11/S$12</f>
        <v>5393.3770965700005</v>
      </c>
      <c r="M11" s="109">
        <f t="shared" ref="M11:M26" si="4">G11-F11</f>
        <v>68.799999999999727</v>
      </c>
      <c r="N11" s="106">
        <f t="shared" ref="N11:N25" si="5">J11+L11</f>
        <v>11845.922696569975</v>
      </c>
      <c r="O11" s="99">
        <f>N11+'prorrateo '!L4</f>
        <v>135845.73933556996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1270.2</v>
      </c>
      <c r="G12" s="105">
        <v>1314.5</v>
      </c>
      <c r="H12" s="106">
        <f t="shared" si="1"/>
        <v>44.299999999999955</v>
      </c>
      <c r="I12" s="107">
        <f t="shared" si="0"/>
        <v>3.1009999999999973</v>
      </c>
      <c r="J12" s="118">
        <f t="shared" si="2"/>
        <v>4154.7640999999958</v>
      </c>
      <c r="K12" s="108">
        <f>K8*E12%</f>
        <v>-8045.5965760799991</v>
      </c>
      <c r="L12" s="129">
        <f t="shared" si="3"/>
        <v>5340.39696792</v>
      </c>
      <c r="M12" s="109">
        <f>G12-F12</f>
        <v>44.299999999999955</v>
      </c>
      <c r="N12" s="106">
        <f t="shared" si="5"/>
        <v>9495.1610679199948</v>
      </c>
      <c r="O12" s="99">
        <f>N12+'prorrateo '!L5</f>
        <v>207553.91838727996</v>
      </c>
      <c r="P12" s="11"/>
      <c r="S12">
        <v>100</v>
      </c>
    </row>
    <row r="13" spans="1:19" x14ac:dyDescent="0.25">
      <c r="A13" s="100">
        <v>4</v>
      </c>
      <c r="B13" s="91" t="s">
        <v>92</v>
      </c>
      <c r="C13" s="180" t="s">
        <v>40</v>
      </c>
      <c r="D13" s="102" t="s">
        <v>93</v>
      </c>
      <c r="E13" s="181">
        <v>5.21</v>
      </c>
      <c r="F13" s="104">
        <v>706.3</v>
      </c>
      <c r="G13" s="105">
        <v>791.8</v>
      </c>
      <c r="H13" s="106">
        <f t="shared" si="1"/>
        <v>85.5</v>
      </c>
      <c r="I13" s="182">
        <f t="shared" si="0"/>
        <v>5.9850000000000003</v>
      </c>
      <c r="J13" s="118">
        <f t="shared" si="2"/>
        <v>8018.7885000000006</v>
      </c>
      <c r="K13" s="183">
        <f>K8*E13%</f>
        <v>-8316.9758256699988</v>
      </c>
      <c r="L13" s="129">
        <f t="shared" si="3"/>
        <v>5520.5294053299995</v>
      </c>
      <c r="M13" s="184">
        <f t="shared" si="4"/>
        <v>85.5</v>
      </c>
      <c r="N13" s="106">
        <f t="shared" si="5"/>
        <v>13539.317905330001</v>
      </c>
      <c r="O13" s="99">
        <f>N13+'prorrateo '!L6</f>
        <v>140462.50939633002</v>
      </c>
      <c r="P13" s="11"/>
    </row>
    <row r="14" spans="1:19" x14ac:dyDescent="0.25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1352.4</v>
      </c>
      <c r="G14" s="105">
        <v>1435.7</v>
      </c>
      <c r="H14" s="106">
        <f t="shared" si="1"/>
        <v>83.299999999999955</v>
      </c>
      <c r="I14" s="107">
        <f t="shared" si="0"/>
        <v>5.8309999999999977</v>
      </c>
      <c r="J14" s="118">
        <f t="shared" si="2"/>
        <v>7812.457099999996</v>
      </c>
      <c r="K14" s="108">
        <f>K8*E14%</f>
        <v>-8157.3409729700006</v>
      </c>
      <c r="L14" s="129">
        <f t="shared" si="3"/>
        <v>5414.5691480300002</v>
      </c>
      <c r="M14" s="109">
        <f t="shared" si="4"/>
        <v>83.299999999999955</v>
      </c>
      <c r="N14" s="106">
        <f t="shared" si="5"/>
        <v>13227.026248029997</v>
      </c>
      <c r="O14" s="99">
        <f>N14+'prorrateo '!L7</f>
        <v>214036.59964127</v>
      </c>
      <c r="P14" s="11"/>
    </row>
    <row r="15" spans="1:19" x14ac:dyDescent="0.25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2383.1999999999998</v>
      </c>
      <c r="G15" s="105">
        <v>2418</v>
      </c>
      <c r="H15" s="106">
        <f t="shared" si="1"/>
        <v>34.800000000000182</v>
      </c>
      <c r="I15" s="107">
        <f t="shared" si="0"/>
        <v>2.4360000000000128</v>
      </c>
      <c r="J15" s="118">
        <f t="shared" si="2"/>
        <v>3263.7876000000174</v>
      </c>
      <c r="K15" s="108">
        <f>K8*E15%</f>
        <v>-8125.4140024299995</v>
      </c>
      <c r="L15" s="129">
        <f t="shared" si="3"/>
        <v>5393.3770965700005</v>
      </c>
      <c r="M15" s="109">
        <f t="shared" si="4"/>
        <v>34.800000000000182</v>
      </c>
      <c r="N15" s="106">
        <f t="shared" si="5"/>
        <v>8657.1646965700184</v>
      </c>
      <c r="O15" s="99">
        <f>N15+'prorrateo '!L8</f>
        <v>132656.98133557002</v>
      </c>
    </row>
    <row r="16" spans="1:19" x14ac:dyDescent="0.25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1975.4</v>
      </c>
      <c r="G16" s="105">
        <v>2053.3000000000002</v>
      </c>
      <c r="H16" s="106">
        <f t="shared" si="1"/>
        <v>77.900000000000091</v>
      </c>
      <c r="I16" s="107">
        <f t="shared" si="0"/>
        <v>5.4530000000000065</v>
      </c>
      <c r="J16" s="118">
        <f t="shared" si="2"/>
        <v>7306.0073000000093</v>
      </c>
      <c r="K16" s="108">
        <f>K8*E16%</f>
        <v>-8157.3409729700006</v>
      </c>
      <c r="L16" s="129">
        <f t="shared" si="3"/>
        <v>5414.5691480300002</v>
      </c>
      <c r="M16" s="109">
        <f t="shared" si="4"/>
        <v>77.900000000000091</v>
      </c>
      <c r="N16" s="106">
        <f t="shared" si="5"/>
        <v>12720.576448030009</v>
      </c>
      <c r="O16" s="99">
        <f>N16+'prorrateo '!L9</f>
        <v>137207.62222903001</v>
      </c>
    </row>
    <row r="17" spans="1:15" x14ac:dyDescent="0.25">
      <c r="A17" s="100">
        <v>9</v>
      </c>
      <c r="B17" s="91">
        <v>9</v>
      </c>
      <c r="C17" s="197" t="s">
        <v>47</v>
      </c>
      <c r="D17" s="198" t="s">
        <v>96</v>
      </c>
      <c r="E17" s="199">
        <v>5.09</v>
      </c>
      <c r="F17" s="200">
        <v>3022.6</v>
      </c>
      <c r="G17" s="201">
        <v>3139.2</v>
      </c>
      <c r="H17" s="202">
        <f t="shared" si="1"/>
        <v>116.59999999999991</v>
      </c>
      <c r="I17" s="203">
        <f t="shared" si="0"/>
        <v>8.1619999999999937</v>
      </c>
      <c r="J17" s="204">
        <f t="shared" si="2"/>
        <v>10935.564199999992</v>
      </c>
      <c r="K17" s="205">
        <f>K8*E17%</f>
        <v>-8125.4140024299995</v>
      </c>
      <c r="L17" s="206">
        <f t="shared" si="3"/>
        <v>5393.3770965700005</v>
      </c>
      <c r="M17" s="207">
        <f t="shared" si="4"/>
        <v>116.59999999999991</v>
      </c>
      <c r="N17" s="202">
        <f t="shared" si="5"/>
        <v>16328.941296569992</v>
      </c>
      <c r="O17" s="99">
        <f>N17+'prorrateo '!L10</f>
        <v>494330.45710233197</v>
      </c>
    </row>
    <row r="18" spans="1:15" x14ac:dyDescent="0.25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1692.8</v>
      </c>
      <c r="G18" s="105">
        <v>1790</v>
      </c>
      <c r="H18" s="106">
        <f t="shared" si="1"/>
        <v>97.200000000000045</v>
      </c>
      <c r="I18" s="107">
        <f t="shared" si="0"/>
        <v>6.8040000000000038</v>
      </c>
      <c r="J18" s="118">
        <f t="shared" si="2"/>
        <v>9116.096400000004</v>
      </c>
      <c r="K18" s="108">
        <f>K8*E18%</f>
        <v>-8045.5965760799991</v>
      </c>
      <c r="L18" s="129">
        <f t="shared" si="3"/>
        <v>5340.39696792</v>
      </c>
      <c r="M18" s="109">
        <f t="shared" si="4"/>
        <v>97.200000000000045</v>
      </c>
      <c r="N18" s="106">
        <f t="shared" si="5"/>
        <v>14456.493367920004</v>
      </c>
      <c r="O18" s="99">
        <f>N18+'prorrateo '!L11</f>
        <v>137238.23715191998</v>
      </c>
    </row>
    <row r="19" spans="1:15" ht="15" customHeight="1" x14ac:dyDescent="0.25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2773.4</v>
      </c>
      <c r="G19" s="105">
        <v>2998.2</v>
      </c>
      <c r="H19" s="106">
        <f t="shared" si="1"/>
        <v>224.79999999999973</v>
      </c>
      <c r="I19" s="107">
        <f t="shared" si="0"/>
        <v>15.735999999999983</v>
      </c>
      <c r="J19" s="118">
        <f t="shared" si="2"/>
        <v>21083.317599999977</v>
      </c>
      <c r="K19" s="108">
        <f>K8*E19%</f>
        <v>-8316.9758256699988</v>
      </c>
      <c r="L19" s="129">
        <f t="shared" si="3"/>
        <v>5520.5294053299995</v>
      </c>
      <c r="M19" s="109">
        <f>G19-F19</f>
        <v>224.79999999999973</v>
      </c>
      <c r="N19" s="106">
        <f t="shared" si="5"/>
        <v>26603.847005329975</v>
      </c>
      <c r="O19" s="99">
        <f>N19+'prorrateo '!L12</f>
        <v>153527.03849632997</v>
      </c>
    </row>
    <row r="20" spans="1:15" ht="15" customHeight="1" x14ac:dyDescent="0.25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4496.3</v>
      </c>
      <c r="G20" s="105">
        <v>4665.5</v>
      </c>
      <c r="H20" s="106">
        <f t="shared" si="1"/>
        <v>169.19999999999982</v>
      </c>
      <c r="I20" s="107">
        <f t="shared" si="0"/>
        <v>11.843999999999989</v>
      </c>
      <c r="J20" s="118">
        <f t="shared" si="2"/>
        <v>15868.760399999985</v>
      </c>
      <c r="K20" s="108">
        <f>K8*E20%</f>
        <v>-8157.3409729700006</v>
      </c>
      <c r="L20" s="129">
        <f t="shared" si="3"/>
        <v>5414.5691480300002</v>
      </c>
      <c r="M20" s="109">
        <f t="shared" si="4"/>
        <v>169.19999999999982</v>
      </c>
      <c r="N20" s="106">
        <f t="shared" si="5"/>
        <v>21283.329548029986</v>
      </c>
      <c r="O20" s="99">
        <f>N20+'prorrateo '!L13</f>
        <v>145770.37532902998</v>
      </c>
    </row>
    <row r="21" spans="1:15" x14ac:dyDescent="0.25">
      <c r="A21" s="100">
        <v>13</v>
      </c>
      <c r="B21" s="91">
        <v>13</v>
      </c>
      <c r="C21" s="117" t="s">
        <v>54</v>
      </c>
      <c r="D21" s="102" t="s">
        <v>99</v>
      </c>
      <c r="E21" s="103">
        <v>5.09</v>
      </c>
      <c r="F21" s="104">
        <v>3467.1</v>
      </c>
      <c r="G21" s="105">
        <v>3467.1</v>
      </c>
      <c r="H21" s="106">
        <f t="shared" si="1"/>
        <v>0</v>
      </c>
      <c r="I21" s="107">
        <f t="shared" si="0"/>
        <v>0</v>
      </c>
      <c r="J21" s="118">
        <f t="shared" si="2"/>
        <v>0</v>
      </c>
      <c r="K21" s="108">
        <f>K8*E21%</f>
        <v>-8125.4140024299995</v>
      </c>
      <c r="L21" s="129">
        <f t="shared" si="3"/>
        <v>5393.3770965700005</v>
      </c>
      <c r="M21" s="109">
        <f t="shared" si="4"/>
        <v>0</v>
      </c>
      <c r="N21" s="106">
        <f t="shared" si="5"/>
        <v>5393.3770965700005</v>
      </c>
      <c r="O21" s="99">
        <f>N21+'prorrateo '!L14</f>
        <v>205417.00304013002</v>
      </c>
    </row>
    <row r="22" spans="1:15" x14ac:dyDescent="0.25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2015.9</v>
      </c>
      <c r="G22" s="105">
        <v>2097.9</v>
      </c>
      <c r="H22" s="106">
        <f t="shared" si="1"/>
        <v>82</v>
      </c>
      <c r="I22" s="107">
        <f t="shared" si="0"/>
        <v>5.74</v>
      </c>
      <c r="J22" s="118">
        <f t="shared" si="2"/>
        <v>7690.5340000000006</v>
      </c>
      <c r="K22" s="108">
        <f>K8*E22%</f>
        <v>-8045.5965760799991</v>
      </c>
      <c r="L22" s="129">
        <f t="shared" si="3"/>
        <v>5340.39696792</v>
      </c>
      <c r="M22" s="109">
        <f t="shared" si="4"/>
        <v>82</v>
      </c>
      <c r="N22" s="106">
        <f t="shared" si="5"/>
        <v>13030.930967920001</v>
      </c>
      <c r="O22" s="99">
        <f>N22+'prorrateo '!L15</f>
        <v>135812.67475191999</v>
      </c>
    </row>
    <row r="23" spans="1:15" x14ac:dyDescent="0.25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4072.7</v>
      </c>
      <c r="G23" s="105">
        <v>4222.8</v>
      </c>
      <c r="H23" s="106">
        <f t="shared" si="1"/>
        <v>150.10000000000036</v>
      </c>
      <c r="I23" s="107">
        <f t="shared" si="0"/>
        <v>10.507000000000026</v>
      </c>
      <c r="J23" s="118">
        <f t="shared" si="2"/>
        <v>14077.428700000035</v>
      </c>
      <c r="K23" s="108">
        <f>K8*E23%</f>
        <v>-8316.9758256699988</v>
      </c>
      <c r="L23" s="129">
        <f t="shared" si="3"/>
        <v>5520.5294053299995</v>
      </c>
      <c r="M23" s="109">
        <f t="shared" si="4"/>
        <v>150.10000000000036</v>
      </c>
      <c r="N23" s="106">
        <f t="shared" si="5"/>
        <v>19597.958105330035</v>
      </c>
      <c r="O23" s="99">
        <f>N23+'prorrateo '!L16</f>
        <v>224337.26874697005</v>
      </c>
    </row>
    <row r="24" spans="1:15" x14ac:dyDescent="0.25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1462.2</v>
      </c>
      <c r="G24" s="105">
        <v>1529.3</v>
      </c>
      <c r="H24" s="106">
        <f t="shared" si="1"/>
        <v>67.099999999999909</v>
      </c>
      <c r="I24" s="107">
        <f t="shared" si="0"/>
        <v>4.6969999999999938</v>
      </c>
      <c r="J24" s="118">
        <f t="shared" si="2"/>
        <v>6293.1076999999923</v>
      </c>
      <c r="K24" s="108">
        <f>K8*E24%</f>
        <v>-8045.5965760799991</v>
      </c>
      <c r="L24" s="129">
        <f t="shared" si="3"/>
        <v>5340.39696792</v>
      </c>
      <c r="M24" s="109">
        <f t="shared" si="4"/>
        <v>67.099999999999909</v>
      </c>
      <c r="N24" s="106">
        <f t="shared" si="5"/>
        <v>11633.504667919991</v>
      </c>
      <c r="O24" s="99">
        <f>N24+'prorrateo '!L17</f>
        <v>134415.24845191999</v>
      </c>
    </row>
    <row r="25" spans="1:15" x14ac:dyDescent="0.25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1352.5</v>
      </c>
      <c r="G25" s="105">
        <v>1452.3</v>
      </c>
      <c r="H25" s="106">
        <f t="shared" si="1"/>
        <v>99.799999999999955</v>
      </c>
      <c r="I25" s="107">
        <f t="shared" si="0"/>
        <v>6.9859999999999971</v>
      </c>
      <c r="J25" s="118">
        <f t="shared" si="2"/>
        <v>9359.9425999999967</v>
      </c>
      <c r="K25" s="108">
        <f>K8*E25%</f>
        <v>-8316.9758256699988</v>
      </c>
      <c r="L25" s="129">
        <f t="shared" si="3"/>
        <v>5520.5294053299995</v>
      </c>
      <c r="M25" s="109">
        <f t="shared" si="4"/>
        <v>99.799999999999955</v>
      </c>
      <c r="N25" s="106">
        <f t="shared" si="5"/>
        <v>14880.472005329997</v>
      </c>
      <c r="O25" s="99">
        <f>N25+'prorrateo '!L18</f>
        <v>141803.66349633</v>
      </c>
    </row>
    <row r="26" spans="1:15" x14ac:dyDescent="0.25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7102.6</v>
      </c>
      <c r="G26" s="105">
        <v>7289.3</v>
      </c>
      <c r="H26" s="106">
        <f t="shared" si="1"/>
        <v>186.69999999999982</v>
      </c>
      <c r="I26" s="107">
        <f t="shared" si="0"/>
        <v>13.068999999999988</v>
      </c>
      <c r="J26" s="118">
        <f t="shared" si="2"/>
        <v>17510.032899999984</v>
      </c>
      <c r="K26" s="108">
        <f>K8*E26%</f>
        <v>-11812.979099800001</v>
      </c>
      <c r="L26" s="129">
        <f t="shared" si="3"/>
        <v>7841.0590401999998</v>
      </c>
      <c r="M26" s="109">
        <f t="shared" si="4"/>
        <v>186.69999999999982</v>
      </c>
      <c r="N26" s="106">
        <f>J26+L26</f>
        <v>25351.091940199985</v>
      </c>
      <c r="O26" s="99">
        <f>N26+'prorrateo '!L19</f>
        <v>205625.87448019997</v>
      </c>
    </row>
    <row r="27" spans="1:15" ht="14.25" customHeight="1" x14ac:dyDescent="0.25">
      <c r="A27" s="100">
        <v>19</v>
      </c>
      <c r="B27" s="92">
        <v>19</v>
      </c>
      <c r="C27" s="208" t="s">
        <v>67</v>
      </c>
      <c r="D27" s="209" t="s">
        <v>98</v>
      </c>
      <c r="E27" s="210">
        <v>1.08</v>
      </c>
      <c r="F27" s="200"/>
      <c r="G27" s="201"/>
      <c r="H27" s="202">
        <f t="shared" si="1"/>
        <v>0</v>
      </c>
      <c r="I27" s="203">
        <f t="shared" si="0"/>
        <v>0</v>
      </c>
      <c r="J27" s="204"/>
      <c r="K27" s="205"/>
      <c r="L27" s="206">
        <f t="shared" si="3"/>
        <v>1144.37077884</v>
      </c>
      <c r="M27" s="207">
        <v>0</v>
      </c>
      <c r="N27" s="202">
        <f t="shared" ref="N27:N37" si="6">J27+L27</f>
        <v>1144.37077884</v>
      </c>
      <c r="O27" s="99">
        <f>N27+'prorrateo '!L20</f>
        <v>102567.08926021976</v>
      </c>
    </row>
    <row r="28" spans="1:15" x14ac:dyDescent="0.25">
      <c r="A28" s="100">
        <v>20</v>
      </c>
      <c r="B28" s="92"/>
      <c r="C28" s="185" t="s">
        <v>68</v>
      </c>
      <c r="D28" s="104"/>
      <c r="E28" s="104">
        <v>1.08</v>
      </c>
      <c r="F28" s="104"/>
      <c r="G28" s="104"/>
      <c r="H28" s="106">
        <v>0</v>
      </c>
      <c r="I28" s="186">
        <f t="shared" si="0"/>
        <v>0</v>
      </c>
      <c r="J28" s="187"/>
      <c r="K28" s="108"/>
      <c r="L28" s="129">
        <f t="shared" si="3"/>
        <v>1144.37077884</v>
      </c>
      <c r="M28" s="109">
        <v>0</v>
      </c>
      <c r="N28" s="106">
        <f t="shared" si="6"/>
        <v>1144.37077884</v>
      </c>
      <c r="O28" s="99">
        <f>N28+'prorrateo '!L21</f>
        <v>43585.533061559996</v>
      </c>
    </row>
    <row r="29" spans="1:15" x14ac:dyDescent="0.25">
      <c r="A29" s="100"/>
      <c r="B29" s="92"/>
      <c r="C29" s="174" t="s">
        <v>69</v>
      </c>
      <c r="D29" s="153"/>
      <c r="E29" s="153">
        <v>1.08</v>
      </c>
      <c r="F29" s="153"/>
      <c r="G29" s="153"/>
      <c r="H29" s="154"/>
      <c r="I29" s="175"/>
      <c r="J29" s="176"/>
      <c r="K29" s="155"/>
      <c r="L29" s="156">
        <f t="shared" si="3"/>
        <v>1144.37077884</v>
      </c>
      <c r="M29" s="157">
        <v>0</v>
      </c>
      <c r="N29" s="154">
        <f t="shared" si="6"/>
        <v>1144.37077884</v>
      </c>
      <c r="O29" s="99">
        <f>N29+'prorrateo '!L22</f>
        <v>102567.08926021976</v>
      </c>
    </row>
    <row r="30" spans="1:15" x14ac:dyDescent="0.25">
      <c r="A30" s="100"/>
      <c r="B30" s="92"/>
      <c r="C30" s="185" t="s">
        <v>70</v>
      </c>
      <c r="D30" s="104"/>
      <c r="E30" s="104">
        <v>1.08</v>
      </c>
      <c r="F30" s="104"/>
      <c r="G30" s="104"/>
      <c r="H30" s="106"/>
      <c r="I30" s="186"/>
      <c r="J30" s="187"/>
      <c r="K30" s="108"/>
      <c r="L30" s="129">
        <f t="shared" si="3"/>
        <v>1144.37077884</v>
      </c>
      <c r="M30" s="109">
        <v>0</v>
      </c>
      <c r="N30" s="106">
        <f t="shared" si="6"/>
        <v>1144.37077884</v>
      </c>
      <c r="O30" s="99">
        <f>N30+'prorrateo '!L23</f>
        <v>43585.533061559996</v>
      </c>
    </row>
    <row r="31" spans="1:15" x14ac:dyDescent="0.25">
      <c r="A31" s="100"/>
      <c r="B31" s="92"/>
      <c r="C31" s="185" t="s">
        <v>71</v>
      </c>
      <c r="D31" s="104"/>
      <c r="E31" s="104">
        <v>1.08</v>
      </c>
      <c r="F31" s="104"/>
      <c r="G31" s="104"/>
      <c r="H31" s="106"/>
      <c r="I31" s="186"/>
      <c r="J31" s="187"/>
      <c r="K31" s="108"/>
      <c r="L31" s="129">
        <f t="shared" si="3"/>
        <v>1144.37077884</v>
      </c>
      <c r="M31" s="109">
        <v>0</v>
      </c>
      <c r="N31" s="106">
        <f t="shared" si="6"/>
        <v>1144.37077884</v>
      </c>
      <c r="O31" s="99">
        <f>N31+'prorrateo '!L24</f>
        <v>27454.744446839999</v>
      </c>
    </row>
    <row r="32" spans="1:15" x14ac:dyDescent="0.25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1144.37077884</v>
      </c>
      <c r="M32" s="109">
        <v>0</v>
      </c>
      <c r="N32" s="106">
        <f t="shared" si="6"/>
        <v>1144.37077884</v>
      </c>
      <c r="O32" s="99">
        <f>N32+'prorrateo '!L25</f>
        <v>43585.533061559996</v>
      </c>
    </row>
    <row r="33" spans="1:16" x14ac:dyDescent="0.25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1144.37077884</v>
      </c>
      <c r="M33" s="109">
        <v>0</v>
      </c>
      <c r="N33" s="106">
        <f t="shared" si="6"/>
        <v>1144.37077884</v>
      </c>
      <c r="O33" s="99">
        <f>N33+'prorrateo '!L26</f>
        <v>27454.744446839999</v>
      </c>
    </row>
    <row r="34" spans="1:16" x14ac:dyDescent="0.25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1144.37077884</v>
      </c>
      <c r="M34" s="109">
        <v>0</v>
      </c>
      <c r="N34" s="106">
        <f t="shared" si="6"/>
        <v>1144.37077884</v>
      </c>
      <c r="O34" s="99">
        <f>N34+'prorrateo '!L27</f>
        <v>27454.744446839999</v>
      </c>
    </row>
    <row r="35" spans="1:16" x14ac:dyDescent="0.25">
      <c r="A35" s="100">
        <v>21</v>
      </c>
      <c r="B35" s="92"/>
      <c r="C35" s="185" t="s">
        <v>75</v>
      </c>
      <c r="D35" s="104"/>
      <c r="E35" s="104">
        <v>1.08</v>
      </c>
      <c r="F35" s="104"/>
      <c r="G35" s="104"/>
      <c r="H35" s="106">
        <v>0</v>
      </c>
      <c r="I35" s="186">
        <f t="shared" si="0"/>
        <v>0</v>
      </c>
      <c r="J35" s="212"/>
      <c r="K35" s="108"/>
      <c r="L35" s="129">
        <f t="shared" si="3"/>
        <v>1144.37077884</v>
      </c>
      <c r="M35" s="109">
        <v>0</v>
      </c>
      <c r="N35" s="106">
        <f t="shared" si="6"/>
        <v>1144.37077884</v>
      </c>
      <c r="O35" s="99">
        <f>N35+'prorrateo '!L28</f>
        <v>43585.533061559996</v>
      </c>
    </row>
    <row r="36" spans="1:16" x14ac:dyDescent="0.25">
      <c r="A36" s="100">
        <v>22</v>
      </c>
      <c r="B36" s="92"/>
      <c r="C36" s="185" t="s">
        <v>76</v>
      </c>
      <c r="D36" s="104"/>
      <c r="E36" s="104">
        <v>1.08</v>
      </c>
      <c r="F36" s="104"/>
      <c r="G36" s="104"/>
      <c r="H36" s="106">
        <v>0</v>
      </c>
      <c r="I36" s="186">
        <f t="shared" si="0"/>
        <v>0</v>
      </c>
      <c r="J36" s="212"/>
      <c r="K36" s="108"/>
      <c r="L36" s="129">
        <f t="shared" si="3"/>
        <v>1144.37077884</v>
      </c>
      <c r="M36" s="109">
        <v>0</v>
      </c>
      <c r="N36" s="106">
        <f t="shared" si="6"/>
        <v>1144.37077884</v>
      </c>
      <c r="O36" s="99">
        <f>N36+'prorrateo '!L29</f>
        <v>27454.744446839999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159634.85269999999</v>
      </c>
      <c r="K38" s="115"/>
      <c r="L38" s="115">
        <f>SUM(L10:L37)</f>
        <v>105960.25730000007</v>
      </c>
      <c r="M38" s="116"/>
      <c r="N38" s="112">
        <f>SUM(N10:N37)</f>
        <v>265595.10999999993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119.14699999999996</v>
      </c>
      <c r="J39" s="128"/>
      <c r="K39" s="96"/>
      <c r="L39" s="135">
        <f>L38+J38</f>
        <v>265595.11000000004</v>
      </c>
      <c r="M39" s="95"/>
      <c r="N39" s="95"/>
      <c r="O39" s="81"/>
    </row>
    <row r="40" spans="1:16" ht="30" hidden="1" x14ac:dyDescent="0.25">
      <c r="A40" s="97" t="s">
        <v>105</v>
      </c>
      <c r="C40" s="229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58"/>
    </row>
    <row r="45" spans="1:16" x14ac:dyDescent="0.25">
      <c r="L45" s="98"/>
    </row>
    <row r="46" spans="1:16" x14ac:dyDescent="0.25">
      <c r="E46" s="159"/>
      <c r="F46" s="159"/>
      <c r="G46" s="159"/>
      <c r="H46" s="159"/>
      <c r="I46" s="159"/>
      <c r="J46" s="159"/>
      <c r="K46" s="159"/>
      <c r="L46" s="160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2025-04-30T15:16:05Z</cp:lastPrinted>
  <dcterms:created xsi:type="dcterms:W3CDTF">2020-12-10T00:27:53Z</dcterms:created>
  <dcterms:modified xsi:type="dcterms:W3CDTF">2025-06-25T23:17:17Z</dcterms:modified>
</cp:coreProperties>
</file>