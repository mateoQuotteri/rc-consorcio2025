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ROSALES\Mayo\"/>
    </mc:Choice>
  </mc:AlternateContent>
  <xr:revisionPtr revIDLastSave="0" documentId="13_ncr:1_{7271414F-ADC0-45B9-81AE-0020924F12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gastos'!$A$1:$C$62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F25" i="1" l="1"/>
  <c r="F14" i="1"/>
  <c r="F28" i="1"/>
  <c r="F7" i="1"/>
  <c r="F27" i="1" l="1"/>
  <c r="F26" i="1"/>
  <c r="F21" i="1"/>
  <c r="F16" i="1"/>
  <c r="F8" i="1" l="1"/>
  <c r="C23" i="3" l="1"/>
  <c r="C32" i="3"/>
  <c r="B28" i="1" l="1"/>
  <c r="B1" i="1" l="1"/>
  <c r="F11" i="1"/>
  <c r="F19" i="1"/>
  <c r="O27" i="1" s="1"/>
  <c r="F6" i="1"/>
  <c r="F3" i="1"/>
  <c r="J7" i="4"/>
  <c r="F13" i="1" l="1"/>
  <c r="F24" i="1"/>
  <c r="C33" i="3" l="1"/>
  <c r="C48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J31" i="1"/>
  <c r="D31" i="1"/>
  <c r="G29" i="1"/>
  <c r="G28" i="1"/>
  <c r="G27" i="1"/>
  <c r="G26" i="1"/>
  <c r="G25" i="1"/>
  <c r="G24" i="1"/>
  <c r="F23" i="1"/>
  <c r="G23" i="1" s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F5" i="1"/>
  <c r="G5" i="1" s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L3" i="1" s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0" i="3"/>
  <c r="C56" i="3" s="1"/>
  <c r="C49" i="3" l="1"/>
  <c r="C51" i="3" s="1"/>
  <c r="L31" i="1"/>
  <c r="C59" i="3" l="1"/>
  <c r="C42" i="3" l="1"/>
</calcChain>
</file>

<file path=xl/sharedStrings.xml><?xml version="1.0" encoding="utf-8"?>
<sst xmlns="http://schemas.openxmlformats.org/spreadsheetml/2006/main" count="181" uniqueCount="133">
  <si>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</si>
  <si>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</si>
  <si>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</si>
  <si>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</si>
  <si>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</si>
  <si>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</si>
  <si>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</si>
  <si>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</si>
  <si>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</si>
  <si>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</si>
  <si>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</si>
  <si>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</si>
  <si>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</si>
  <si>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</si>
  <si>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</si>
  <si>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</si>
  <si>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</si>
  <si>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</si>
  <si>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</si>
  <si>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</si>
  <si>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</si>
  <si>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</si>
  <si>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</si>
  <si>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</si>
  <si>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</si>
  <si>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</si>
  <si>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Seguro de consorcio obligatorio - cuota 1 federacion patronal - poliza nro. 2027630</t>
  </si>
  <si>
    <t>Ascensores Lema</t>
  </si>
  <si>
    <t>Propietarios</t>
  </si>
  <si>
    <t>SALDO ANTERIOR</t>
  </si>
  <si>
    <t>SALDO ABONADO</t>
  </si>
  <si>
    <t>SALDO</t>
  </si>
  <si>
    <t>SALDO EXPENSA</t>
  </si>
  <si>
    <t>Gastos part</t>
  </si>
  <si>
    <t>A PAGAR</t>
  </si>
  <si>
    <t>Ferrea Nestor</t>
  </si>
  <si>
    <t>1ro. "A"</t>
  </si>
  <si>
    <t>Gnecchi Nicolas</t>
  </si>
  <si>
    <t xml:space="preserve">Martina 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</si>
  <si>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</si>
  <si>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</si>
  <si>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</si>
  <si>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</si>
  <si>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</si>
  <si>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</si>
  <si>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</si>
  <si>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</si>
  <si>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</si>
  <si>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</si>
  <si>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</si>
  <si>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</si>
  <si>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</si>
  <si>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</si>
  <si>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</si>
  <si>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</si>
  <si>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</si>
  <si>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</si>
  <si>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</si>
  <si>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</si>
  <si>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</si>
  <si>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</si>
  <si>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</si>
  <si>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</si>
  <si>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</si>
  <si>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</si>
  <si>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</si>
  <si>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</si>
  <si>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</si>
  <si>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</si>
  <si>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</si>
  <si>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</si>
  <si>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</si>
  <si>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</si>
  <si>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</si>
  <si>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</si>
  <si>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</si>
  <si>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</si>
  <si>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</si>
  <si>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</si>
  <si>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</si>
  <si>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</si>
  <si>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</si>
  <si>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>Expensas ordinarias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</si>
  <si>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</si>
  <si>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</si>
  <si>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</si>
  <si>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</si>
  <si>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</si>
  <si>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</si>
  <si>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</si>
  <si>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</si>
  <si>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</si>
  <si>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</si>
  <si>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</si>
  <si>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</si>
  <si>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</si>
  <si>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</si>
  <si>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</si>
  <si>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</si>
  <si>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</si>
  <si>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</si>
  <si>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</si>
  <si>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</si>
  <si>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</si>
  <si>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</si>
  <si>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</si>
  <si>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</si>
  <si>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</si>
  <si>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</si>
  <si>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</si>
  <si>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</si>
  <si>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</si>
  <si>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</si>
  <si>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</si>
  <si>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</si>
  <si>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</si>
  <si>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</si>
  <si>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>GASTOS RECUPERADOS DEL MES DE DICIEMBRE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</si>
  <si>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</si>
  <si>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</si>
  <si>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</si>
  <si>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</si>
  <si>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</si>
  <si>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4B y Cochera 1 de no cancelar la deuda antes del 10/04 se procedera a desconectar la UF de la luz general de edificio.</t>
  </si>
  <si>
    <t>Subidos en ABR 2025</t>
  </si>
  <si>
    <t>Doartero julio - arreglo de terraza</t>
  </si>
  <si>
    <t>Este mes y el anterior lo cerramos sin TSG - EL mes que viene hay que pasar 3</t>
  </si>
  <si>
    <t>Doartero julio - reconexion de porteros electricos piso 8 y 2</t>
  </si>
  <si>
    <t>Desobstruccion de colectora pluvial</t>
  </si>
  <si>
    <t>LIQUIDACIÓN EXPENSAS mayo 2025</t>
  </si>
  <si>
    <t>EGRESOS DEL MES DE mayo</t>
  </si>
  <si>
    <t>Fumigacion mes de abril y mayo</t>
  </si>
  <si>
    <t>Vto. 16/06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</si>
</sst>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0.0000"/>
    <numFmt numFmtId="168" formatCode="&quot;$&quot;\ #,##0.00"/>
    <numFmt numFmtId="169" formatCode="0.0"/>
    <numFmt numFmtId="170" formatCode="_-&quot;$&quot;\ * #,##0_-;\-&quot;$&quot;\ * #,##0_-;_-&quot;$&quot;\ * &quot;-&quot;??_-;_-@"/>
    <numFmt numFmtId="171" formatCode="_-&quot;$&quot;\ * #,##0.00_-;\-&quot;$&quot;\ * #,##0.00_-;_-&quot;$&quot;\ * &quot;-&quot;??_-;_-@"/>
    <numFmt numFmtId="172" formatCode="_-* #,##0_-;\-* #,##0_-;_-* &quot;-&quot;??_-;_-@_-"/>
    <numFmt numFmtId="173" formatCode="_-* #,##0.000000_-;\-* #,##0.000000_-;_-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4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4" fontId="8" fillId="3" borderId="7" xfId="2" applyFont="1" applyFill="1" applyBorder="1"/>
    <xf numFmtId="4" fontId="1" fillId="0" borderId="0" xfId="0" applyNumberFormat="1" applyFont="1"/>
    <xf numFmtId="166" fontId="0" fillId="0" borderId="0" xfId="0" applyNumberFormat="1"/>
    <xf numFmtId="165" fontId="0" fillId="0" borderId="0" xfId="0" applyNumberFormat="1"/>
    <xf numFmtId="164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4" fontId="6" fillId="0" borderId="1" xfId="2" applyFont="1" applyBorder="1"/>
    <xf numFmtId="0" fontId="8" fillId="3" borderId="1" xfId="0" applyFont="1" applyFill="1" applyBorder="1"/>
    <xf numFmtId="164" fontId="14" fillId="0" borderId="1" xfId="2" applyFont="1" applyBorder="1"/>
    <xf numFmtId="164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4" fontId="8" fillId="3" borderId="1" xfId="0" applyNumberFormat="1" applyFont="1" applyFill="1" applyBorder="1"/>
    <xf numFmtId="4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 wrapText="1"/>
    </xf>
    <xf numFmtId="168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4" fontId="19" fillId="0" borderId="4" xfId="0" applyNumberFormat="1" applyFont="1" applyBorder="1"/>
    <xf numFmtId="164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4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7" fontId="19" fillId="0" borderId="6" xfId="0" applyNumberFormat="1" applyFont="1" applyBorder="1" applyAlignment="1">
      <alignment horizontal="center"/>
    </xf>
    <xf numFmtId="164" fontId="19" fillId="0" borderId="6" xfId="0" applyNumberFormat="1" applyFont="1" applyBorder="1"/>
    <xf numFmtId="164" fontId="19" fillId="0" borderId="0" xfId="0" applyNumberFormat="1" applyFont="1"/>
    <xf numFmtId="169" fontId="18" fillId="0" borderId="5" xfId="0" applyNumberFormat="1" applyFont="1" applyBorder="1"/>
    <xf numFmtId="169" fontId="18" fillId="0" borderId="6" xfId="0" applyNumberFormat="1" applyFont="1" applyBorder="1"/>
    <xf numFmtId="169" fontId="17" fillId="0" borderId="6" xfId="0" applyNumberFormat="1" applyFont="1" applyBorder="1"/>
    <xf numFmtId="164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0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0" fontId="23" fillId="0" borderId="13" xfId="0" applyNumberFormat="1" applyFont="1" applyBorder="1"/>
    <xf numFmtId="0" fontId="23" fillId="0" borderId="14" xfId="0" applyFont="1" applyBorder="1"/>
    <xf numFmtId="171" fontId="16" fillId="0" borderId="13" xfId="0" applyNumberFormat="1" applyFont="1" applyBorder="1"/>
    <xf numFmtId="4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0" fontId="23" fillId="0" borderId="9" xfId="0" applyNumberFormat="1" applyFont="1" applyBorder="1"/>
    <xf numFmtId="171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1" fontId="0" fillId="0" borderId="0" xfId="0" applyNumberFormat="1"/>
    <xf numFmtId="170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0" fontId="25" fillId="5" borderId="15" xfId="0" applyNumberFormat="1" applyFont="1" applyFill="1" applyBorder="1"/>
    <xf numFmtId="171" fontId="25" fillId="5" borderId="16" xfId="0" applyNumberFormat="1" applyFont="1" applyFill="1" applyBorder="1"/>
    <xf numFmtId="171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0" fontId="25" fillId="0" borderId="15" xfId="0" applyNumberFormat="1" applyFont="1" applyBorder="1"/>
    <xf numFmtId="171" fontId="25" fillId="0" borderId="15" xfId="0" applyNumberFormat="1" applyFont="1" applyBorder="1"/>
    <xf numFmtId="171" fontId="25" fillId="0" borderId="16" xfId="0" applyNumberFormat="1" applyFont="1" applyBorder="1"/>
    <xf numFmtId="171" fontId="25" fillId="0" borderId="17" xfId="0" applyNumberFormat="1" applyFont="1" applyBorder="1"/>
    <xf numFmtId="170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1" fontId="25" fillId="5" borderId="1" xfId="0" applyNumberFormat="1" applyFont="1" applyFill="1" applyBorder="1"/>
    <xf numFmtId="171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0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1" fontId="23" fillId="0" borderId="0" xfId="0" applyNumberFormat="1" applyFont="1"/>
    <xf numFmtId="171" fontId="28" fillId="5" borderId="17" xfId="0" applyNumberFormat="1" applyFont="1" applyFill="1" applyBorder="1"/>
    <xf numFmtId="173" fontId="25" fillId="0" borderId="15" xfId="0" applyNumberFormat="1" applyFont="1" applyBorder="1"/>
    <xf numFmtId="4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1" fontId="25" fillId="0" borderId="21" xfId="0" applyNumberFormat="1" applyFont="1" applyBorder="1"/>
    <xf numFmtId="171" fontId="25" fillId="0" borderId="23" xfId="0" applyNumberFormat="1" applyFont="1" applyBorder="1"/>
    <xf numFmtId="171" fontId="25" fillId="0" borderId="9" xfId="0" applyNumberFormat="1" applyFont="1" applyBorder="1"/>
    <xf numFmtId="172" fontId="23" fillId="0" borderId="9" xfId="0" applyNumberFormat="1" applyFont="1" applyBorder="1"/>
    <xf numFmtId="166" fontId="17" fillId="0" borderId="7" xfId="2" applyNumberFormat="1" applyFont="1" applyFill="1" applyBorder="1" applyAlignment="1"/>
    <xf numFmtId="166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4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44" fontId="20" fillId="6" borderId="1" xfId="2" applyNumberFormat="1" applyFont="1" applyFill="1" applyBorder="1"/>
    <xf numFmtId="164" fontId="19" fillId="6" borderId="4" xfId="0" applyNumberFormat="1" applyFont="1" applyFill="1" applyBorder="1"/>
    <xf numFmtId="164" fontId="19" fillId="6" borderId="1" xfId="0" applyNumberFormat="1" applyFont="1" applyFill="1" applyBorder="1"/>
    <xf numFmtId="0" fontId="25" fillId="6" borderId="15" xfId="0" applyFont="1" applyFill="1" applyBorder="1" applyAlignment="1">
      <alignment horizontal="left" vertical="center"/>
    </xf>
    <xf numFmtId="0" fontId="26" fillId="6" borderId="1" xfId="3" applyFont="1" applyFill="1" applyBorder="1"/>
    <xf numFmtId="43" fontId="26" fillId="6" borderId="1" xfId="4" applyFont="1" applyFill="1" applyBorder="1"/>
    <xf numFmtId="0" fontId="25" fillId="6" borderId="15" xfId="0" applyFont="1" applyFill="1" applyBorder="1"/>
    <xf numFmtId="0" fontId="19" fillId="6" borderId="15" xfId="0" applyFont="1" applyFill="1" applyBorder="1"/>
    <xf numFmtId="170" fontId="25" fillId="6" borderId="15" xfId="0" applyNumberFormat="1" applyFont="1" applyFill="1" applyBorder="1"/>
    <xf numFmtId="171" fontId="25" fillId="6" borderId="16" xfId="0" applyNumberFormat="1" applyFont="1" applyFill="1" applyBorder="1"/>
    <xf numFmtId="171" fontId="25" fillId="6" borderId="1" xfId="0" applyNumberFormat="1" applyFont="1" applyFill="1" applyBorder="1"/>
    <xf numFmtId="171" fontId="25" fillId="6" borderId="17" xfId="0" applyNumberFormat="1" applyFont="1" applyFill="1" applyBorder="1"/>
    <xf numFmtId="171" fontId="28" fillId="6" borderId="17" xfId="0" applyNumberFormat="1" applyFont="1" applyFill="1" applyBorder="1"/>
    <xf numFmtId="2" fontId="25" fillId="6" borderId="18" xfId="0" applyNumberFormat="1" applyFont="1" applyFill="1" applyBorder="1"/>
    <xf numFmtId="164" fontId="0" fillId="0" borderId="0" xfId="2" applyFont="1"/>
    <xf numFmtId="0" fontId="1" fillId="6" borderId="0" xfId="0" applyFont="1" applyFill="1"/>
    <xf numFmtId="4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4" fontId="9" fillId="0" borderId="0" xfId="2" applyFont="1" applyBorder="1"/>
    <xf numFmtId="0" fontId="1" fillId="0" borderId="26" xfId="0" applyFont="1" applyBorder="1"/>
    <xf numFmtId="164" fontId="9" fillId="0" borderId="27" xfId="2" applyFont="1" applyBorder="1"/>
    <xf numFmtId="0" fontId="1" fillId="0" borderId="28" xfId="0" applyFont="1" applyBorder="1"/>
    <xf numFmtId="164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4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4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1" fontId="25" fillId="6" borderId="15" xfId="0" applyNumberFormat="1" applyFont="1" applyFill="1" applyBorder="1"/>
    <xf numFmtId="171" fontId="25" fillId="6" borderId="21" xfId="0" applyNumberFormat="1" applyFont="1" applyFill="1" applyBorder="1"/>
    <xf numFmtId="164" fontId="1" fillId="2" borderId="1" xfId="2" applyFont="1" applyFill="1" applyBorder="1"/>
    <xf numFmtId="0" fontId="23" fillId="0" borderId="1" xfId="0" applyFont="1" applyBorder="1"/>
    <xf numFmtId="170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1" fontId="25" fillId="5" borderId="8" xfId="0" applyNumberFormat="1" applyFont="1" applyFill="1" applyBorder="1" applyAlignment="1">
      <alignment horizontal="right" vertical="center"/>
    </xf>
    <xf numFmtId="171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1" fontId="25" fillId="5" borderId="15" xfId="0" applyNumberFormat="1" applyFont="1" applyFill="1" applyBorder="1"/>
    <xf numFmtId="171" fontId="25" fillId="5" borderId="21" xfId="0" applyNumberFormat="1" applyFont="1" applyFill="1" applyBorder="1"/>
    <xf numFmtId="171" fontId="25" fillId="6" borderId="22" xfId="0" applyNumberFormat="1" applyFont="1" applyFill="1" applyBorder="1"/>
    <xf numFmtId="44" fontId="6" fillId="5" borderId="4" xfId="2" applyNumberFormat="1" applyFont="1" applyFill="1" applyBorder="1"/>
    <xf numFmtId="44" fontId="6" fillId="6" borderId="4" xfId="2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44" fontId="20" fillId="10" borderId="1" xfId="2" applyNumberFormat="1" applyFont="1" applyFill="1" applyBorder="1"/>
    <xf numFmtId="44" fontId="6" fillId="10" borderId="4" xfId="2" applyNumberFormat="1" applyFont="1" applyFill="1" applyBorder="1"/>
    <xf numFmtId="164" fontId="19" fillId="10" borderId="4" xfId="0" applyNumberFormat="1" applyFont="1" applyFill="1" applyBorder="1"/>
    <xf numFmtId="164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0" fontId="25" fillId="10" borderId="15" xfId="0" applyNumberFormat="1" applyFont="1" applyFill="1" applyBorder="1"/>
    <xf numFmtId="171" fontId="25" fillId="10" borderId="16" xfId="0" applyNumberFormat="1" applyFont="1" applyFill="1" applyBorder="1"/>
    <xf numFmtId="171" fontId="25" fillId="10" borderId="1" xfId="0" applyNumberFormat="1" applyFont="1" applyFill="1" applyBorder="1"/>
    <xf numFmtId="171" fontId="25" fillId="10" borderId="17" xfId="0" applyNumberFormat="1" applyFont="1" applyFill="1" applyBorder="1"/>
    <xf numFmtId="171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171" fontId="31" fillId="5" borderId="1" xfId="0" applyNumberFormat="1" applyFont="1" applyFill="1" applyBorder="1"/>
    <xf numFmtId="4" fontId="1" fillId="0" borderId="27" xfId="0" applyNumberFormat="1" applyFont="1" applyBorder="1"/>
    <xf numFmtId="171" fontId="25" fillId="5" borderId="22" xfId="0" applyNumberFormat="1" applyFont="1" applyFill="1" applyBorder="1"/>
    <xf numFmtId="4" fontId="0" fillId="5" borderId="1" xfId="0" applyNumberFormat="1" applyFill="1" applyBorder="1"/>
    <xf numFmtId="4" fontId="0" fillId="5" borderId="1" xfId="0" applyNumberFormat="1" applyFill="1" applyBorder="1" applyAlignment="1">
      <alignment horizontal="right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44" fontId="23" fillId="0" borderId="13" xfId="0" applyNumberFormat="1" applyFont="1" applyBorder="1" applyAlignment="1">
      <alignment horizontal="center"/>
    </xf>
    <xf numFmtId="4" fontId="14" fillId="5" borderId="1" xfId="0" applyNumberFormat="1" applyFont="1" applyFill="1" applyBorder="1"/>
    <xf numFmtId="0" fontId="0" fillId="6" borderId="5" xfId="0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3"/>
  <sheetViews>
    <sheetView tabSelected="1" workbookViewId="0">
      <selection activeCell="C8" sqref="C8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9</v>
      </c>
      <c r="C2" t="s">
        <v>22</v>
      </c>
    </row>
    <row r="3" spans="1:3" x14ac:dyDescent="0.3">
      <c r="B3" t="s">
        <v>3</v>
      </c>
    </row>
    <row r="4" spans="1:3" x14ac:dyDescent="0.3">
      <c r="B4" s="3" t="s">
        <v>2</v>
      </c>
    </row>
    <row r="5" spans="1:3" ht="8.25" customHeight="1" x14ac:dyDescent="0.3">
      <c r="A5" s="2"/>
      <c r="B5" s="15"/>
      <c r="C5" s="2"/>
    </row>
    <row r="7" spans="1:3" x14ac:dyDescent="0.3">
      <c r="A7" s="16" t="s">
        <v>25</v>
      </c>
      <c r="B7" s="17" t="s">
        <v>129</v>
      </c>
      <c r="C7" s="17" t="s">
        <v>132</v>
      </c>
    </row>
    <row r="8" spans="1:3" x14ac:dyDescent="0.3">
      <c r="A8" s="2"/>
      <c r="B8" s="2"/>
      <c r="C8" s="2"/>
    </row>
    <row r="10" spans="1:3" x14ac:dyDescent="0.3">
      <c r="A10" s="7" t="s">
        <v>19</v>
      </c>
    </row>
    <row r="11" spans="1:3" x14ac:dyDescent="0.3">
      <c r="A11" t="s">
        <v>13</v>
      </c>
    </row>
    <row r="12" spans="1:3" x14ac:dyDescent="0.3">
      <c r="A12" t="s">
        <v>14</v>
      </c>
    </row>
    <row r="13" spans="1:3" x14ac:dyDescent="0.3">
      <c r="A13" t="s">
        <v>16</v>
      </c>
    </row>
    <row r="15" spans="1:3" x14ac:dyDescent="0.3">
      <c r="A15" s="13" t="s">
        <v>5</v>
      </c>
    </row>
    <row r="16" spans="1:3" x14ac:dyDescent="0.3">
      <c r="A16" s="35" t="s">
        <v>4</v>
      </c>
      <c r="B16" s="28"/>
      <c r="C16" s="36"/>
    </row>
    <row r="17" spans="1:6" x14ac:dyDescent="0.3">
      <c r="A17" s="28"/>
      <c r="B17" s="37"/>
      <c r="C17" s="33"/>
      <c r="D17" s="4"/>
      <c r="E17" s="6"/>
    </row>
    <row r="18" spans="1:6" x14ac:dyDescent="0.3">
      <c r="A18" s="28" t="s">
        <v>26</v>
      </c>
      <c r="B18" s="38"/>
      <c r="C18" s="223">
        <v>41473</v>
      </c>
      <c r="D18" s="4"/>
      <c r="E18" s="6"/>
    </row>
    <row r="19" spans="1:6" hidden="1" x14ac:dyDescent="0.3">
      <c r="A19" s="28"/>
      <c r="B19" s="39"/>
      <c r="C19" s="223"/>
      <c r="D19" s="4"/>
      <c r="E19" s="6"/>
      <c r="F19" s="8"/>
    </row>
    <row r="20" spans="1:6" x14ac:dyDescent="0.3">
      <c r="A20" s="28" t="s">
        <v>10</v>
      </c>
      <c r="B20" s="39"/>
      <c r="C20" s="224">
        <v>301604.38</v>
      </c>
      <c r="D20" s="20"/>
      <c r="F20" s="6"/>
    </row>
    <row r="21" spans="1:6" x14ac:dyDescent="0.3">
      <c r="A21" s="28" t="s">
        <v>27</v>
      </c>
      <c r="B21" s="39"/>
      <c r="C21" s="223">
        <v>65000</v>
      </c>
      <c r="D21" s="20"/>
      <c r="F21" s="6"/>
    </row>
    <row r="22" spans="1:6" x14ac:dyDescent="0.3">
      <c r="A22" s="28" t="s">
        <v>11</v>
      </c>
      <c r="B22" s="39" t="s">
        <v>23</v>
      </c>
      <c r="C22" s="223">
        <v>78682.460000000006</v>
      </c>
      <c r="D22" s="4"/>
      <c r="E22" s="6"/>
      <c r="F22" t="s">
        <v>124</v>
      </c>
    </row>
    <row r="23" spans="1:6" x14ac:dyDescent="0.3">
      <c r="A23" s="40"/>
      <c r="B23" s="41"/>
      <c r="C23" s="183">
        <f>SUM(C17:C22)</f>
        <v>486759.84</v>
      </c>
    </row>
    <row r="24" spans="1:6" x14ac:dyDescent="0.3">
      <c r="A24" s="35" t="s">
        <v>12</v>
      </c>
      <c r="B24" s="39"/>
      <c r="C24" s="36"/>
    </row>
    <row r="25" spans="1:6" ht="15.6" x14ac:dyDescent="0.3">
      <c r="A25" s="28" t="s">
        <v>120</v>
      </c>
      <c r="B25" s="42"/>
      <c r="C25" s="223">
        <v>349151.87</v>
      </c>
      <c r="D25" s="45"/>
      <c r="F25" s="12"/>
    </row>
    <row r="26" spans="1:6" ht="15.6" x14ac:dyDescent="0.3">
      <c r="A26" s="28" t="s">
        <v>121</v>
      </c>
      <c r="B26" s="42"/>
      <c r="C26" s="234">
        <v>5684</v>
      </c>
      <c r="D26" s="45"/>
      <c r="F26" s="12"/>
    </row>
    <row r="27" spans="1:6" ht="15.6" x14ac:dyDescent="0.3">
      <c r="A27" s="140" t="s">
        <v>125</v>
      </c>
      <c r="B27" s="141"/>
      <c r="C27" s="223">
        <v>270000</v>
      </c>
      <c r="D27" s="45"/>
      <c r="F27" s="12"/>
    </row>
    <row r="28" spans="1:6" ht="15.6" x14ac:dyDescent="0.3">
      <c r="A28" s="140" t="s">
        <v>127</v>
      </c>
      <c r="B28" s="141"/>
      <c r="C28" s="223">
        <v>170000</v>
      </c>
      <c r="D28" s="45"/>
      <c r="F28" s="12"/>
    </row>
    <row r="29" spans="1:6" ht="15.6" x14ac:dyDescent="0.3">
      <c r="A29" s="235" t="s">
        <v>128</v>
      </c>
      <c r="B29" s="141"/>
      <c r="C29" s="234">
        <v>76654</v>
      </c>
      <c r="D29" s="45"/>
      <c r="F29" s="12" t="s">
        <v>126</v>
      </c>
    </row>
    <row r="30" spans="1:6" ht="15.6" x14ac:dyDescent="0.3">
      <c r="A30" s="28" t="s">
        <v>131</v>
      </c>
      <c r="B30" s="42"/>
      <c r="C30" s="223">
        <v>45000</v>
      </c>
      <c r="F30" s="12"/>
    </row>
    <row r="31" spans="1:6" ht="15.6" x14ac:dyDescent="0.3">
      <c r="A31" s="28" t="s">
        <v>113</v>
      </c>
      <c r="B31" s="39"/>
      <c r="C31" s="34"/>
      <c r="D31" s="4"/>
      <c r="E31" s="6"/>
      <c r="F31" s="12"/>
    </row>
    <row r="32" spans="1:6" ht="15.6" x14ac:dyDescent="0.3">
      <c r="A32" s="40"/>
      <c r="B32" s="41"/>
      <c r="C32" s="23">
        <f>SUM(C24:C31)</f>
        <v>916489.87</v>
      </c>
      <c r="F32" s="12"/>
    </row>
    <row r="33" spans="1:6" ht="15.6" x14ac:dyDescent="0.3">
      <c r="A33" s="30" t="s">
        <v>6</v>
      </c>
      <c r="B33" s="30"/>
      <c r="C33" s="43">
        <f>+C32+C23</f>
        <v>1403249.71</v>
      </c>
      <c r="F33" s="12"/>
    </row>
    <row r="34" spans="1:6" ht="15.6" x14ac:dyDescent="0.3">
      <c r="C34" s="24"/>
      <c r="F34" s="12"/>
    </row>
    <row r="35" spans="1:6" ht="15.6" x14ac:dyDescent="0.3">
      <c r="A35" s="13" t="s">
        <v>18</v>
      </c>
      <c r="C35" s="24"/>
      <c r="F35" s="12"/>
    </row>
    <row r="36" spans="1:6" ht="15.6" x14ac:dyDescent="0.3">
      <c r="A36" s="28"/>
      <c r="B36" s="28"/>
      <c r="C36" s="33"/>
      <c r="F36" s="12"/>
    </row>
    <row r="37" spans="1:6" ht="15.6" x14ac:dyDescent="0.3">
      <c r="A37" s="28"/>
      <c r="B37" s="28"/>
      <c r="C37" s="34"/>
      <c r="F37" s="12"/>
    </row>
    <row r="38" spans="1:6" ht="15.6" x14ac:dyDescent="0.3">
      <c r="A38" s="28"/>
      <c r="B38" s="28"/>
      <c r="C38" s="34"/>
      <c r="F38" s="12"/>
    </row>
    <row r="39" spans="1:6" ht="15.6" x14ac:dyDescent="0.3">
      <c r="C39" s="25"/>
      <c r="F39" s="12"/>
    </row>
    <row r="40" spans="1:6" x14ac:dyDescent="0.3">
      <c r="A40" s="13" t="s">
        <v>15</v>
      </c>
      <c r="B40" s="13"/>
      <c r="C40" s="14">
        <f>+C36+C37+C38+C39</f>
        <v>0</v>
      </c>
      <c r="E40" s="6"/>
    </row>
    <row r="42" spans="1:6" x14ac:dyDescent="0.3">
      <c r="A42" s="18" t="s">
        <v>7</v>
      </c>
      <c r="B42" s="18"/>
      <c r="C42" s="19">
        <f>+C40+C33</f>
        <v>1403249.71</v>
      </c>
    </row>
    <row r="44" spans="1:6" x14ac:dyDescent="0.3">
      <c r="A44" s="4"/>
    </row>
    <row r="45" spans="1:6" x14ac:dyDescent="0.3">
      <c r="A45" s="4"/>
      <c r="C45" s="169"/>
      <c r="D45" s="5"/>
      <c r="E45" s="5"/>
    </row>
    <row r="46" spans="1:6" ht="15" customHeight="1" thickBot="1" x14ac:dyDescent="0.35">
      <c r="A46" s="4"/>
      <c r="C46" s="169"/>
      <c r="D46" s="6"/>
      <c r="E46" s="6"/>
    </row>
    <row r="47" spans="1:6" ht="15" thickBot="1" x14ac:dyDescent="0.35">
      <c r="A47" s="170" t="s">
        <v>117</v>
      </c>
      <c r="B47" s="168"/>
      <c r="C47" s="171">
        <v>-108808.68868403265</v>
      </c>
      <c r="D47" s="6"/>
      <c r="E47" s="6"/>
    </row>
    <row r="48" spans="1:6" ht="15" thickBot="1" x14ac:dyDescent="0.35">
      <c r="A48" s="170" t="s">
        <v>130</v>
      </c>
      <c r="B48" s="168"/>
      <c r="C48" s="173">
        <f>-(C33-C31)</f>
        <v>-1403249.71</v>
      </c>
      <c r="D48" s="6"/>
      <c r="E48" s="6"/>
    </row>
    <row r="49" spans="1:6" ht="15" thickBot="1" x14ac:dyDescent="0.35">
      <c r="A49" s="170" t="s">
        <v>119</v>
      </c>
      <c r="B49" s="168"/>
      <c r="C49" s="221">
        <f>'prorrateo '!F31</f>
        <v>880779.1571104785</v>
      </c>
    </row>
    <row r="50" spans="1:6" hidden="1" x14ac:dyDescent="0.3">
      <c r="A50" s="174"/>
      <c r="C50" s="175"/>
    </row>
    <row r="51" spans="1:6" ht="15" thickBot="1" x14ac:dyDescent="0.35">
      <c r="A51" s="172" t="s">
        <v>8</v>
      </c>
      <c r="B51" s="167"/>
      <c r="C51" s="176">
        <f>SUM(C45:C49)</f>
        <v>-631279.24157355423</v>
      </c>
      <c r="D51" s="5"/>
    </row>
    <row r="52" spans="1:6" ht="12.75" customHeight="1" x14ac:dyDescent="0.3">
      <c r="A52" s="9"/>
      <c r="B52" s="8"/>
      <c r="C52" s="10"/>
    </row>
    <row r="53" spans="1:6" hidden="1" x14ac:dyDescent="0.3">
      <c r="A53" s="225"/>
      <c r="B53" s="225"/>
      <c r="C53" s="225"/>
      <c r="F53" s="44"/>
    </row>
    <row r="54" spans="1:6" ht="46.5" hidden="1" customHeight="1" x14ac:dyDescent="0.3">
      <c r="A54" s="226"/>
      <c r="B54" s="226"/>
      <c r="C54" s="226"/>
    </row>
    <row r="55" spans="1:6" ht="0.75" hidden="1" customHeight="1" x14ac:dyDescent="0.3">
      <c r="A55" s="26" t="s">
        <v>21</v>
      </c>
      <c r="B55" s="27"/>
      <c r="C55" s="29"/>
    </row>
    <row r="56" spans="1:6" hidden="1" x14ac:dyDescent="0.3">
      <c r="A56" s="28" t="s">
        <v>24</v>
      </c>
      <c r="B56" s="28"/>
      <c r="C56" s="31">
        <f>-C40</f>
        <v>0</v>
      </c>
    </row>
    <row r="57" spans="1:6" hidden="1" x14ac:dyDescent="0.3">
      <c r="A57" s="28"/>
      <c r="B57" s="28"/>
      <c r="C57" s="31"/>
    </row>
    <row r="58" spans="1:6" hidden="1" x14ac:dyDescent="0.3">
      <c r="A58" s="28"/>
      <c r="B58" s="28"/>
      <c r="C58" s="32"/>
    </row>
    <row r="59" spans="1:6" hidden="1" x14ac:dyDescent="0.3">
      <c r="A59" s="177" t="s">
        <v>0</v>
      </c>
      <c r="B59" s="178"/>
      <c r="C59" s="179">
        <f>SUM(C55:C58)</f>
        <v>0</v>
      </c>
    </row>
    <row r="60" spans="1:6" x14ac:dyDescent="0.3">
      <c r="A60" s="8"/>
      <c r="B60" s="8"/>
      <c r="C60" s="8"/>
    </row>
    <row r="61" spans="1:6" x14ac:dyDescent="0.3">
      <c r="A61" s="8"/>
      <c r="B61" s="8"/>
      <c r="C61" s="8"/>
    </row>
    <row r="62" spans="1:6" x14ac:dyDescent="0.3">
      <c r="A62" s="8"/>
      <c r="B62" s="8"/>
      <c r="C62" s="8"/>
    </row>
    <row r="63" spans="1:6" x14ac:dyDescent="0.3">
      <c r="A63" s="8"/>
      <c r="B63" s="8"/>
      <c r="C63" s="8"/>
    </row>
  </sheetData>
  <mergeCells count="1">
    <mergeCell ref="A53:C5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workbookViewId="0">
      <selection activeCell="D1" sqref="D1"/>
    </sheetView>
  </sheetViews>
  <sheetFormatPr baseColWidth="10" defaultRowHeight="14.4" x14ac:dyDescent="0.3"/>
  <cols>
    <col min="1" max="1" width="18.5546875" style="1" customWidth="1"/>
    <col min="2" max="2" width="12.109375" style="1" customWidth="1"/>
    <col min="3" max="3" width="13.88671875" customWidth="1"/>
    <col min="4" max="4" width="9.88671875" bestFit="1" customWidth="1"/>
    <col min="5" max="5" width="16.33203125" customWidth="1"/>
    <col min="6" max="6" width="12.44140625" bestFit="1" customWidth="1"/>
    <col min="7" max="7" width="10.88671875" bestFit="1" customWidth="1"/>
    <col min="8" max="8" width="10.88671875" customWidth="1"/>
    <col min="9" max="9" width="10.6640625" customWidth="1"/>
    <col min="10" max="10" width="10.5546875" customWidth="1"/>
    <col min="11" max="11" width="0.109375" customWidth="1"/>
    <col min="12" max="12" width="12.44140625" bestFit="1" customWidth="1"/>
    <col min="14" max="14" width="11.44140625" style="11"/>
    <col min="15" max="15" width="13" bestFit="1" customWidth="1"/>
  </cols>
  <sheetData>
    <row r="1" spans="1:12" x14ac:dyDescent="0.3">
      <c r="A1" s="1" t="s">
        <v>82</v>
      </c>
      <c r="B1" s="227">
        <f>D1</f>
        <v>1436145.71</v>
      </c>
      <c r="C1" s="227"/>
      <c r="D1" s="145">
        <v>1436145.71</v>
      </c>
    </row>
    <row r="2" spans="1:12" ht="34.5" customHeight="1" x14ac:dyDescent="0.3">
      <c r="A2" s="46" t="s">
        <v>28</v>
      </c>
      <c r="B2" s="46" t="s">
        <v>20</v>
      </c>
      <c r="C2" s="139" t="s">
        <v>111</v>
      </c>
      <c r="D2" s="47" t="s">
        <v>1</v>
      </c>
      <c r="E2" s="48" t="s">
        <v>29</v>
      </c>
      <c r="F2" s="48" t="s">
        <v>30</v>
      </c>
      <c r="G2" s="49" t="s">
        <v>31</v>
      </c>
      <c r="H2" s="49" t="s">
        <v>114</v>
      </c>
      <c r="I2" s="50" t="s">
        <v>32</v>
      </c>
      <c r="J2" s="50" t="s">
        <v>33</v>
      </c>
      <c r="K2" s="50" t="s">
        <v>17</v>
      </c>
      <c r="L2" s="51" t="s">
        <v>34</v>
      </c>
    </row>
    <row r="3" spans="1:12" x14ac:dyDescent="0.3">
      <c r="A3" s="52" t="s">
        <v>35</v>
      </c>
      <c r="B3" s="53" t="s">
        <v>112</v>
      </c>
      <c r="C3" s="54" t="s">
        <v>36</v>
      </c>
      <c r="D3" s="55">
        <v>5.1100000000000003</v>
      </c>
      <c r="E3" s="131">
        <v>45994.165161000004</v>
      </c>
      <c r="F3" s="196">
        <f>E3</f>
        <v>45994.165161000004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v>0</v>
      </c>
      <c r="K3" s="56"/>
      <c r="L3" s="57">
        <f>I3+G3+K3+J3+H3</f>
        <v>73387.045781000008</v>
      </c>
    </row>
    <row r="4" spans="1:12" x14ac:dyDescent="0.3">
      <c r="A4" s="58" t="s">
        <v>37</v>
      </c>
      <c r="B4" s="59" t="s">
        <v>38</v>
      </c>
      <c r="C4" s="60" t="s">
        <v>39</v>
      </c>
      <c r="D4" s="61">
        <v>5.09</v>
      </c>
      <c r="E4" s="131">
        <v>45814.148859000001</v>
      </c>
      <c r="F4" s="196">
        <f t="shared" ref="F4:F23" si="0">E4</f>
        <v>45814.148859000001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v>0</v>
      </c>
      <c r="K4" s="56"/>
      <c r="L4" s="57">
        <f t="shared" ref="L4:L29" si="4">I4+G4+K4+J4+H4</f>
        <v>73099.816638999997</v>
      </c>
    </row>
    <row r="5" spans="1:12" x14ac:dyDescent="0.3">
      <c r="A5" s="58" t="s">
        <v>40</v>
      </c>
      <c r="B5" s="59" t="s">
        <v>41</v>
      </c>
      <c r="C5" s="60" t="s">
        <v>42</v>
      </c>
      <c r="D5" s="61">
        <v>5.04</v>
      </c>
      <c r="E5" s="131">
        <v>45364.108103999999</v>
      </c>
      <c r="F5" s="196">
        <f t="shared" si="0"/>
        <v>45364.108103999999</v>
      </c>
      <c r="G5" s="56">
        <f t="shared" si="1"/>
        <v>0</v>
      </c>
      <c r="H5" s="56">
        <f t="shared" si="2"/>
        <v>0</v>
      </c>
      <c r="I5" s="56">
        <f t="shared" si="3"/>
        <v>72381.743783999991</v>
      </c>
      <c r="J5" s="56">
        <v>0</v>
      </c>
      <c r="K5" s="56"/>
      <c r="L5" s="57">
        <f t="shared" si="4"/>
        <v>72381.743783999991</v>
      </c>
    </row>
    <row r="6" spans="1:12" x14ac:dyDescent="0.3">
      <c r="A6" s="58" t="s">
        <v>43</v>
      </c>
      <c r="B6" s="59"/>
      <c r="C6" s="60" t="s">
        <v>44</v>
      </c>
      <c r="D6" s="61">
        <v>5.21</v>
      </c>
      <c r="E6" s="131">
        <v>46894.246671000001</v>
      </c>
      <c r="F6" s="196">
        <f>E6</f>
        <v>46894.246671000001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v>0</v>
      </c>
      <c r="K6" s="56"/>
      <c r="L6" s="57">
        <f t="shared" si="4"/>
        <v>74823.191491000005</v>
      </c>
    </row>
    <row r="7" spans="1:12" x14ac:dyDescent="0.3">
      <c r="A7" s="58" t="s">
        <v>40</v>
      </c>
      <c r="B7" s="59" t="s">
        <v>116</v>
      </c>
      <c r="C7" s="60" t="s">
        <v>45</v>
      </c>
      <c r="D7" s="61">
        <v>5.1100000000000003</v>
      </c>
      <c r="E7" s="131">
        <v>45994.165161000004</v>
      </c>
      <c r="F7" s="196">
        <f>E7</f>
        <v>45994.165161000004</v>
      </c>
      <c r="G7" s="56">
        <f t="shared" si="1"/>
        <v>0</v>
      </c>
      <c r="H7" s="56">
        <f t="shared" si="2"/>
        <v>0</v>
      </c>
      <c r="I7" s="56">
        <f t="shared" si="3"/>
        <v>73387.045781000008</v>
      </c>
      <c r="J7" s="56">
        <v>0</v>
      </c>
      <c r="K7" s="56"/>
      <c r="L7" s="57">
        <f t="shared" si="4"/>
        <v>73387.045781000008</v>
      </c>
    </row>
    <row r="8" spans="1:12" x14ac:dyDescent="0.3">
      <c r="A8" s="58" t="s">
        <v>46</v>
      </c>
      <c r="B8" s="59"/>
      <c r="C8" s="60" t="s">
        <v>47</v>
      </c>
      <c r="D8" s="61">
        <v>5.09</v>
      </c>
      <c r="E8" s="131">
        <v>45814.148859000001</v>
      </c>
      <c r="F8" s="196">
        <f>E8</f>
        <v>45814.148859000001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v>0</v>
      </c>
      <c r="K8" s="56"/>
      <c r="L8" s="57">
        <f t="shared" si="4"/>
        <v>73099.816638999997</v>
      </c>
    </row>
    <row r="9" spans="1:12" x14ac:dyDescent="0.3">
      <c r="A9" s="58" t="s">
        <v>48</v>
      </c>
      <c r="B9" s="59"/>
      <c r="C9" s="60" t="s">
        <v>49</v>
      </c>
      <c r="D9" s="61">
        <v>5.1100000000000003</v>
      </c>
      <c r="E9" s="131">
        <v>45994.165161000004</v>
      </c>
      <c r="F9" s="196">
        <f t="shared" si="0"/>
        <v>45994.165161000004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v>0</v>
      </c>
      <c r="K9" s="56"/>
      <c r="L9" s="57">
        <f t="shared" si="4"/>
        <v>73387.045781000008</v>
      </c>
    </row>
    <row r="10" spans="1:12" ht="24.75" customHeight="1" x14ac:dyDescent="0.3">
      <c r="A10" s="198" t="s">
        <v>50</v>
      </c>
      <c r="B10" s="199" t="s">
        <v>122</v>
      </c>
      <c r="C10" s="200" t="s">
        <v>51</v>
      </c>
      <c r="D10" s="201">
        <v>5.09</v>
      </c>
      <c r="E10" s="202">
        <v>257006.18515366298</v>
      </c>
      <c r="F10" s="203"/>
      <c r="G10" s="204">
        <f t="shared" si="1"/>
        <v>257006.18515366298</v>
      </c>
      <c r="H10" s="204">
        <f t="shared" si="2"/>
        <v>10280.24740614652</v>
      </c>
      <c r="I10" s="204">
        <f t="shared" si="3"/>
        <v>73099.816638999997</v>
      </c>
      <c r="J10" s="204">
        <v>0</v>
      </c>
      <c r="K10" s="204"/>
      <c r="L10" s="205">
        <f t="shared" si="4"/>
        <v>340386.24919880956</v>
      </c>
    </row>
    <row r="11" spans="1:12" x14ac:dyDescent="0.3">
      <c r="A11" s="58" t="s">
        <v>118</v>
      </c>
      <c r="B11" s="59"/>
      <c r="C11" s="60" t="s">
        <v>52</v>
      </c>
      <c r="D11" s="61">
        <v>5.04</v>
      </c>
      <c r="E11" s="131">
        <v>45364.108103999999</v>
      </c>
      <c r="F11" s="196">
        <f>E11</f>
        <v>45364.108103999999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v>0</v>
      </c>
      <c r="K11" s="56"/>
      <c r="L11" s="57">
        <f t="shared" si="4"/>
        <v>72381.743783999991</v>
      </c>
    </row>
    <row r="12" spans="1:12" x14ac:dyDescent="0.3">
      <c r="A12" s="58" t="s">
        <v>53</v>
      </c>
      <c r="B12" s="59"/>
      <c r="C12" s="60" t="s">
        <v>54</v>
      </c>
      <c r="D12" s="61">
        <v>5.21</v>
      </c>
      <c r="E12" s="131">
        <v>46894.246671000001</v>
      </c>
      <c r="F12" s="196">
        <f t="shared" si="0"/>
        <v>46894.246671000001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v>0</v>
      </c>
      <c r="K12" s="56"/>
      <c r="L12" s="57">
        <f t="shared" si="4"/>
        <v>74823.191491000005</v>
      </c>
    </row>
    <row r="13" spans="1:12" x14ac:dyDescent="0.3">
      <c r="A13" s="58" t="s">
        <v>55</v>
      </c>
      <c r="B13" s="59" t="s">
        <v>56</v>
      </c>
      <c r="C13" s="60" t="s">
        <v>57</v>
      </c>
      <c r="D13" s="61">
        <v>5.1100000000000003</v>
      </c>
      <c r="E13" s="131">
        <v>45994.165161000004</v>
      </c>
      <c r="F13" s="196">
        <f>E13</f>
        <v>45994.165161000004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v>0</v>
      </c>
      <c r="K13" s="56"/>
      <c r="L13" s="57">
        <f t="shared" si="4"/>
        <v>73387.045781000008</v>
      </c>
    </row>
    <row r="14" spans="1:12" x14ac:dyDescent="0.3">
      <c r="A14" s="64" t="s">
        <v>55</v>
      </c>
      <c r="B14" s="142"/>
      <c r="C14" s="65" t="s">
        <v>58</v>
      </c>
      <c r="D14" s="143">
        <v>5.09</v>
      </c>
      <c r="E14" s="131">
        <v>137780.54635439839</v>
      </c>
      <c r="F14" s="196">
        <f>E14</f>
        <v>137780.54635439839</v>
      </c>
      <c r="G14" s="66">
        <f t="shared" si="1"/>
        <v>0</v>
      </c>
      <c r="H14" s="66">
        <f t="shared" si="2"/>
        <v>0</v>
      </c>
      <c r="I14" s="66">
        <f t="shared" si="3"/>
        <v>73099.816638999997</v>
      </c>
      <c r="J14" s="66">
        <v>0</v>
      </c>
      <c r="K14" s="66"/>
      <c r="L14" s="144">
        <f t="shared" si="4"/>
        <v>73099.816638999997</v>
      </c>
    </row>
    <row r="15" spans="1:12" x14ac:dyDescent="0.3">
      <c r="A15" s="58" t="s">
        <v>59</v>
      </c>
      <c r="B15" s="59" t="s">
        <v>60</v>
      </c>
      <c r="C15" s="60" t="s">
        <v>61</v>
      </c>
      <c r="D15" s="61">
        <v>5.04</v>
      </c>
      <c r="E15" s="131">
        <v>136427.10287351039</v>
      </c>
      <c r="F15" s="196"/>
      <c r="G15" s="56">
        <f t="shared" si="1"/>
        <v>136427.10287351039</v>
      </c>
      <c r="H15" s="56">
        <f t="shared" si="2"/>
        <v>5457.0841149404159</v>
      </c>
      <c r="I15" s="56">
        <f t="shared" si="3"/>
        <v>72381.743783999991</v>
      </c>
      <c r="J15" s="56">
        <v>0</v>
      </c>
      <c r="K15" s="56"/>
      <c r="L15" s="57">
        <f t="shared" si="4"/>
        <v>214265.93077245081</v>
      </c>
    </row>
    <row r="16" spans="1:12" x14ac:dyDescent="0.3">
      <c r="A16" s="58" t="s">
        <v>62</v>
      </c>
      <c r="B16" s="59" t="s">
        <v>63</v>
      </c>
      <c r="C16" s="60" t="s">
        <v>64</v>
      </c>
      <c r="D16" s="61">
        <v>5.21</v>
      </c>
      <c r="E16" s="131">
        <v>46894.246671000001</v>
      </c>
      <c r="F16" s="196">
        <f>E16</f>
        <v>46894.246671000001</v>
      </c>
      <c r="G16" s="56">
        <f t="shared" si="1"/>
        <v>0</v>
      </c>
      <c r="H16" s="56">
        <f t="shared" si="2"/>
        <v>0</v>
      </c>
      <c r="I16" s="56">
        <f t="shared" si="3"/>
        <v>74823.191491000005</v>
      </c>
      <c r="J16" s="56">
        <v>0</v>
      </c>
      <c r="K16" s="56"/>
      <c r="L16" s="57">
        <f t="shared" si="4"/>
        <v>74823.191491000005</v>
      </c>
    </row>
    <row r="17" spans="1:15" x14ac:dyDescent="0.3">
      <c r="A17" s="58" t="s">
        <v>65</v>
      </c>
      <c r="B17" s="59"/>
      <c r="C17" s="60" t="s">
        <v>66</v>
      </c>
      <c r="D17" s="61">
        <v>5.04</v>
      </c>
      <c r="E17" s="131">
        <v>45364.108103999999</v>
      </c>
      <c r="F17" s="196">
        <f t="shared" si="0"/>
        <v>45364.108103999999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v>0</v>
      </c>
      <c r="K17" s="56"/>
      <c r="L17" s="57">
        <f t="shared" si="4"/>
        <v>72381.743783999991</v>
      </c>
    </row>
    <row r="18" spans="1:15" ht="23.25" customHeight="1" x14ac:dyDescent="0.3">
      <c r="A18" s="62" t="s">
        <v>67</v>
      </c>
      <c r="B18" s="63"/>
      <c r="C18" s="60" t="s">
        <v>68</v>
      </c>
      <c r="D18" s="61">
        <v>5.21</v>
      </c>
      <c r="E18" s="131">
        <v>46894.246671000001</v>
      </c>
      <c r="F18" s="196">
        <f t="shared" si="0"/>
        <v>46894.246671000001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v>0</v>
      </c>
      <c r="K18" s="56"/>
      <c r="L18" s="57">
        <f t="shared" si="4"/>
        <v>74823.191491000005</v>
      </c>
    </row>
    <row r="19" spans="1:15" x14ac:dyDescent="0.3">
      <c r="A19" s="58" t="s">
        <v>69</v>
      </c>
      <c r="B19" s="59"/>
      <c r="C19" s="60" t="s">
        <v>70</v>
      </c>
      <c r="D19" s="61">
        <v>7.4</v>
      </c>
      <c r="E19" s="131">
        <v>66606.031740000006</v>
      </c>
      <c r="F19" s="196">
        <f>E19</f>
        <v>66606.031740000006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v>0</v>
      </c>
      <c r="K19" s="56"/>
      <c r="L19" s="57">
        <f t="shared" si="4"/>
        <v>106274.78254</v>
      </c>
    </row>
    <row r="20" spans="1:15" ht="24" x14ac:dyDescent="0.3">
      <c r="A20" s="198"/>
      <c r="B20" s="199" t="s">
        <v>122</v>
      </c>
      <c r="C20" s="200" t="s">
        <v>71</v>
      </c>
      <c r="D20" s="201">
        <v>1.08</v>
      </c>
      <c r="E20" s="202">
        <v>54531.764236926552</v>
      </c>
      <c r="F20" s="203">
        <v>0</v>
      </c>
      <c r="G20" s="204">
        <f t="shared" si="1"/>
        <v>54531.764236926552</v>
      </c>
      <c r="H20" s="204">
        <f t="shared" si="2"/>
        <v>2181.2705694770621</v>
      </c>
      <c r="I20" s="204">
        <f t="shared" si="3"/>
        <v>15510.373668</v>
      </c>
      <c r="J20" s="204">
        <v>0</v>
      </c>
      <c r="K20" s="204"/>
      <c r="L20" s="205">
        <f t="shared" si="4"/>
        <v>72223.408474403608</v>
      </c>
    </row>
    <row r="21" spans="1:15" x14ac:dyDescent="0.3">
      <c r="A21" s="64"/>
      <c r="B21" s="59" t="s">
        <v>63</v>
      </c>
      <c r="C21" s="65" t="s">
        <v>72</v>
      </c>
      <c r="D21" s="61">
        <v>1.08</v>
      </c>
      <c r="E21" s="131">
        <v>9720.8803079999998</v>
      </c>
      <c r="F21" s="196">
        <f>E21</f>
        <v>9720.8803079999998</v>
      </c>
      <c r="G21" s="56">
        <f t="shared" si="1"/>
        <v>0</v>
      </c>
      <c r="H21" s="56">
        <f t="shared" si="2"/>
        <v>0</v>
      </c>
      <c r="I21" s="56">
        <f t="shared" si="3"/>
        <v>15510.373668</v>
      </c>
      <c r="J21" s="56">
        <v>0</v>
      </c>
      <c r="K21" s="66"/>
      <c r="L21" s="57">
        <f t="shared" si="4"/>
        <v>15510.373668</v>
      </c>
    </row>
    <row r="22" spans="1:15" x14ac:dyDescent="0.3">
      <c r="A22" s="146"/>
      <c r="B22" s="147"/>
      <c r="C22" s="148" t="s">
        <v>73</v>
      </c>
      <c r="D22" s="149">
        <v>1.08</v>
      </c>
      <c r="E22" s="150">
        <v>54531.764236926552</v>
      </c>
      <c r="F22" s="197">
        <v>0</v>
      </c>
      <c r="G22" s="151">
        <f t="shared" si="1"/>
        <v>54531.764236926552</v>
      </c>
      <c r="H22" s="151">
        <f t="shared" si="2"/>
        <v>2181.2705694770621</v>
      </c>
      <c r="I22" s="151">
        <f t="shared" si="3"/>
        <v>15510.373668</v>
      </c>
      <c r="J22" s="151">
        <v>0</v>
      </c>
      <c r="K22" s="151"/>
      <c r="L22" s="152">
        <f t="shared" si="4"/>
        <v>72223.408474403608</v>
      </c>
    </row>
    <row r="23" spans="1:15" x14ac:dyDescent="0.3">
      <c r="A23" s="58"/>
      <c r="B23" s="59" t="s">
        <v>41</v>
      </c>
      <c r="C23" s="60" t="s">
        <v>74</v>
      </c>
      <c r="D23" s="61">
        <v>1.08</v>
      </c>
      <c r="E23" s="131">
        <v>9720.8803079999998</v>
      </c>
      <c r="F23" s="196">
        <f t="shared" si="0"/>
        <v>9720.8803079999998</v>
      </c>
      <c r="G23" s="56">
        <f t="shared" si="1"/>
        <v>0</v>
      </c>
      <c r="H23" s="56">
        <f t="shared" si="2"/>
        <v>0</v>
      </c>
      <c r="I23" s="56">
        <f t="shared" si="3"/>
        <v>15510.373668</v>
      </c>
      <c r="J23" s="56">
        <v>0</v>
      </c>
      <c r="K23" s="56"/>
      <c r="L23" s="57">
        <f t="shared" si="4"/>
        <v>15510.373668</v>
      </c>
    </row>
    <row r="24" spans="1:15" x14ac:dyDescent="0.3">
      <c r="A24" s="58" t="s">
        <v>55</v>
      </c>
      <c r="B24" s="59" t="s">
        <v>56</v>
      </c>
      <c r="C24" s="60" t="s">
        <v>75</v>
      </c>
      <c r="D24" s="61">
        <v>1.08</v>
      </c>
      <c r="E24" s="131">
        <v>9720.8803079999998</v>
      </c>
      <c r="F24" s="196">
        <f>E24</f>
        <v>9720.8803079999998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v>0</v>
      </c>
      <c r="K24" s="56"/>
      <c r="L24" s="57">
        <f t="shared" si="4"/>
        <v>15510.373668</v>
      </c>
    </row>
    <row r="25" spans="1:15" x14ac:dyDescent="0.3">
      <c r="A25" s="58" t="s">
        <v>55</v>
      </c>
      <c r="B25" s="59"/>
      <c r="C25" s="60" t="s">
        <v>76</v>
      </c>
      <c r="D25" s="61">
        <v>1.08</v>
      </c>
      <c r="E25" s="131">
        <v>18793.027810079999</v>
      </c>
      <c r="F25" s="196">
        <f>E25</f>
        <v>18793.027810079999</v>
      </c>
      <c r="G25" s="56">
        <f t="shared" si="1"/>
        <v>0</v>
      </c>
      <c r="H25" s="56">
        <f t="shared" si="2"/>
        <v>0</v>
      </c>
      <c r="I25" s="56">
        <f t="shared" si="3"/>
        <v>15510.373668</v>
      </c>
      <c r="J25" s="56">
        <v>0</v>
      </c>
      <c r="K25" s="56"/>
      <c r="L25" s="57">
        <f t="shared" si="4"/>
        <v>15510.373668</v>
      </c>
    </row>
    <row r="26" spans="1:15" x14ac:dyDescent="0.3">
      <c r="A26" s="58" t="s">
        <v>69</v>
      </c>
      <c r="B26" s="59"/>
      <c r="C26" s="60" t="s">
        <v>77</v>
      </c>
      <c r="D26" s="61">
        <v>1.08</v>
      </c>
      <c r="E26" s="131">
        <v>9720.8803079999998</v>
      </c>
      <c r="F26" s="196">
        <f t="shared" ref="F26:F28" si="5">E26</f>
        <v>9720.8803079999998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v>0</v>
      </c>
      <c r="K26" s="56"/>
      <c r="L26" s="57">
        <f t="shared" si="4"/>
        <v>15510.373668</v>
      </c>
    </row>
    <row r="27" spans="1:15" x14ac:dyDescent="0.3">
      <c r="A27" s="58" t="s">
        <v>69</v>
      </c>
      <c r="B27" s="67"/>
      <c r="C27" s="60" t="s">
        <v>78</v>
      </c>
      <c r="D27" s="61">
        <v>1.08</v>
      </c>
      <c r="E27" s="131">
        <v>9720.8803079999998</v>
      </c>
      <c r="F27" s="196">
        <f t="shared" si="5"/>
        <v>9720.8803079999998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v>0</v>
      </c>
      <c r="K27" s="56"/>
      <c r="L27" s="57">
        <f t="shared" si="4"/>
        <v>15510.373668</v>
      </c>
      <c r="O27" s="44">
        <f>F27+F26+F19</f>
        <v>86047.792356000005</v>
      </c>
    </row>
    <row r="28" spans="1:15" x14ac:dyDescent="0.3">
      <c r="A28" s="68"/>
      <c r="B28" s="67" t="str">
        <f>B7</f>
        <v>Leandro</v>
      </c>
      <c r="C28" s="60" t="s">
        <v>79</v>
      </c>
      <c r="D28" s="61">
        <v>1.08</v>
      </c>
      <c r="E28" s="131">
        <v>9720.8803079999998</v>
      </c>
      <c r="F28" s="196">
        <f t="shared" si="5"/>
        <v>9720.8803079999998</v>
      </c>
      <c r="G28" s="56">
        <f t="shared" si="1"/>
        <v>0</v>
      </c>
      <c r="H28" s="56">
        <f t="shared" si="2"/>
        <v>0</v>
      </c>
      <c r="I28" s="56">
        <f t="shared" si="3"/>
        <v>15510.373668</v>
      </c>
      <c r="J28" s="56">
        <v>0</v>
      </c>
      <c r="K28" s="56"/>
      <c r="L28" s="57">
        <f t="shared" si="4"/>
        <v>15510.373668</v>
      </c>
    </row>
    <row r="29" spans="1:15" x14ac:dyDescent="0.3">
      <c r="A29" s="68" t="s">
        <v>59</v>
      </c>
      <c r="B29" s="67"/>
      <c r="C29" s="60" t="s">
        <v>80</v>
      </c>
      <c r="D29" s="61">
        <v>1.08</v>
      </c>
      <c r="E29" s="131">
        <v>18793.027810079999</v>
      </c>
      <c r="F29" s="196"/>
      <c r="G29" s="56">
        <f t="shared" si="1"/>
        <v>18793.027810079999</v>
      </c>
      <c r="H29" s="56">
        <f t="shared" si="2"/>
        <v>751.72111240319998</v>
      </c>
      <c r="I29" s="56">
        <f t="shared" si="3"/>
        <v>15510.373668</v>
      </c>
      <c r="J29" s="56">
        <v>0</v>
      </c>
      <c r="K29" s="56"/>
      <c r="L29" s="57">
        <f t="shared" si="4"/>
        <v>35055.122590483195</v>
      </c>
    </row>
    <row r="30" spans="1:15" x14ac:dyDescent="0.3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3">
      <c r="A31" s="74"/>
      <c r="B31" s="75"/>
      <c r="C31" s="76" t="s">
        <v>81</v>
      </c>
      <c r="D31" s="76">
        <f>SUM(D3:D30)</f>
        <v>99.999999999999986</v>
      </c>
      <c r="E31" s="75"/>
      <c r="F31" s="137">
        <f>SUM(F3:F30)</f>
        <v>880779.1571104785</v>
      </c>
      <c r="G31" s="77"/>
      <c r="H31" s="77"/>
      <c r="I31" s="138">
        <f>SUM(I3:I30)</f>
        <v>1436145.7100000009</v>
      </c>
      <c r="J31" s="137">
        <f>SUM(J3:J30)</f>
        <v>0</v>
      </c>
      <c r="K31" s="137"/>
      <c r="L31" s="137">
        <f>SUM(L3:L29)</f>
        <v>1978287.1480835518</v>
      </c>
    </row>
    <row r="32" spans="1:15" x14ac:dyDescent="0.3">
      <c r="J32" s="22"/>
    </row>
    <row r="33" spans="1:12" x14ac:dyDescent="0.3">
      <c r="A33" s="228" t="s">
        <v>123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</row>
    <row r="34" spans="1:12" x14ac:dyDescent="0.3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3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</row>
    <row r="36" spans="1:12" x14ac:dyDescent="0.3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40" spans="1:12" x14ac:dyDescent="0.3">
      <c r="E40" s="21"/>
    </row>
  </sheetData>
  <mergeCells count="2">
    <mergeCell ref="B1:C1"/>
    <mergeCell ref="A33:L3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22" workbookViewId="0">
      <selection activeCell="C36" sqref="C36:N36"/>
    </sheetView>
  </sheetViews>
  <sheetFormatPr baseColWidth="10" defaultRowHeight="14.4" x14ac:dyDescent="0.3"/>
  <cols>
    <col min="1" max="1" width="5" hidden="1" customWidth="1"/>
    <col min="2" max="2" width="8.33203125" hidden="1" customWidth="1"/>
    <col min="3" max="3" width="15.109375" customWidth="1"/>
    <col min="4" max="4" width="15.109375" hidden="1" customWidth="1"/>
    <col min="5" max="5" width="9" customWidth="1"/>
    <col min="6" max="6" width="9.33203125" customWidth="1"/>
    <col min="7" max="7" width="9.5546875" customWidth="1"/>
    <col min="8" max="8" width="11.5546875" hidden="1" customWidth="1"/>
    <col min="9" max="9" width="0.109375" hidden="1" customWidth="1"/>
    <col min="10" max="10" width="13.88671875" customWidth="1"/>
    <col min="11" max="11" width="0.109375" customWidth="1"/>
    <col min="12" max="12" width="13.5546875" customWidth="1"/>
    <col min="13" max="13" width="11.88671875" customWidth="1"/>
    <col min="14" max="14" width="12.88671875" customWidth="1"/>
    <col min="15" max="15" width="11.44140625" hidden="1" customWidth="1"/>
  </cols>
  <sheetData>
    <row r="1" spans="1:19" ht="21" customHeight="1" x14ac:dyDescent="0.3">
      <c r="A1" s="229" t="s">
        <v>84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1"/>
      <c r="O1" s="78"/>
    </row>
    <row r="2" spans="1:19" x14ac:dyDescent="0.3">
      <c r="A2" s="79"/>
      <c r="B2" s="79"/>
      <c r="C2" s="184"/>
      <c r="D2" s="184"/>
      <c r="E2" s="184"/>
      <c r="F2" s="184"/>
      <c r="G2" s="184"/>
      <c r="H2" s="185"/>
      <c r="I2" s="184"/>
      <c r="J2" s="184"/>
      <c r="K2" s="184"/>
      <c r="L2" s="184"/>
      <c r="M2" s="184"/>
      <c r="N2" s="184"/>
      <c r="O2" s="80"/>
      <c r="P2" s="11"/>
    </row>
    <row r="3" spans="1:19" x14ac:dyDescent="0.3">
      <c r="A3" s="82"/>
      <c r="B3" s="82"/>
      <c r="C3" s="186"/>
      <c r="D3" s="186"/>
      <c r="E3" s="186"/>
      <c r="F3" s="186"/>
      <c r="G3" s="186"/>
      <c r="H3" s="185"/>
      <c r="I3" s="184"/>
      <c r="J3" s="184"/>
      <c r="K3" s="184"/>
      <c r="L3" s="184"/>
      <c r="M3" s="184"/>
      <c r="N3" s="184"/>
      <c r="O3" s="80"/>
      <c r="P3" s="11"/>
    </row>
    <row r="4" spans="1:19" x14ac:dyDescent="0.3">
      <c r="A4" s="82"/>
      <c r="B4" s="82"/>
      <c r="C4" s="186"/>
      <c r="D4" s="186"/>
      <c r="E4" s="186"/>
      <c r="F4" s="186"/>
      <c r="G4" s="186"/>
      <c r="H4" s="185"/>
      <c r="I4" s="184" t="s">
        <v>83</v>
      </c>
      <c r="J4" s="184"/>
      <c r="K4" s="184"/>
      <c r="L4" s="184"/>
      <c r="M4" s="184"/>
      <c r="N4" s="184"/>
      <c r="O4" s="80"/>
      <c r="P4" s="11"/>
    </row>
    <row r="5" spans="1:19" x14ac:dyDescent="0.3">
      <c r="A5" s="82"/>
      <c r="B5" s="82"/>
      <c r="C5" s="186"/>
      <c r="D5" s="186"/>
      <c r="E5" s="186"/>
      <c r="F5" s="186"/>
      <c r="G5" s="186"/>
      <c r="H5" s="185"/>
      <c r="I5" s="184"/>
      <c r="J5" s="184"/>
      <c r="K5" s="184"/>
      <c r="L5" s="184"/>
      <c r="M5" s="184"/>
      <c r="N5" s="184"/>
      <c r="O5" s="80"/>
      <c r="P5" s="11"/>
    </row>
    <row r="6" spans="1:19" x14ac:dyDescent="0.3">
      <c r="A6" s="82"/>
      <c r="B6" s="82"/>
      <c r="C6" s="184"/>
      <c r="D6" s="28"/>
      <c r="E6" s="184"/>
      <c r="F6" s="184"/>
      <c r="G6" s="184"/>
      <c r="H6" s="185"/>
      <c r="I6" s="184"/>
      <c r="J6" s="184"/>
      <c r="K6" s="184"/>
      <c r="L6" s="184"/>
      <c r="M6" s="184"/>
      <c r="N6" s="184"/>
      <c r="O6" s="80"/>
      <c r="P6" s="11"/>
    </row>
    <row r="7" spans="1:19" ht="19.5" customHeight="1" x14ac:dyDescent="0.3">
      <c r="A7" s="83"/>
      <c r="B7" s="83" t="s">
        <v>84</v>
      </c>
      <c r="C7" s="220">
        <v>815526.71</v>
      </c>
      <c r="D7" s="28"/>
      <c r="E7" s="184"/>
      <c r="F7" s="184" t="s">
        <v>115</v>
      </c>
      <c r="G7" s="184"/>
      <c r="H7" s="185"/>
      <c r="I7" s="184"/>
      <c r="J7" s="184" t="str">
        <f>'detalle y gastos'!C7</f>
        <v>Vto. 16/06</v>
      </c>
      <c r="K7" s="184"/>
      <c r="L7" s="184"/>
      <c r="M7" s="184"/>
      <c r="N7" s="184"/>
      <c r="O7" s="80"/>
      <c r="P7" s="11"/>
    </row>
    <row r="8" spans="1:19" hidden="1" x14ac:dyDescent="0.3">
      <c r="A8" s="83"/>
      <c r="B8" s="82" t="s">
        <v>84</v>
      </c>
      <c r="C8" s="87"/>
      <c r="E8" s="84"/>
      <c r="F8" s="84"/>
      <c r="G8" s="84"/>
      <c r="H8" s="85"/>
      <c r="I8" s="84"/>
      <c r="J8" s="80"/>
      <c r="K8" s="88">
        <f>C8-J38</f>
        <v>-142678.16310000012</v>
      </c>
      <c r="L8" s="233">
        <f>C7-J38</f>
        <v>672848.54689999984</v>
      </c>
      <c r="M8" s="233"/>
      <c r="N8" s="86"/>
      <c r="O8" s="80"/>
      <c r="P8" s="11"/>
    </row>
    <row r="9" spans="1:19" ht="28.5" customHeight="1" x14ac:dyDescent="0.3">
      <c r="A9" s="89" t="s">
        <v>85</v>
      </c>
      <c r="B9" s="89" t="s">
        <v>85</v>
      </c>
      <c r="C9" s="121" t="s">
        <v>86</v>
      </c>
      <c r="D9" s="122" t="s">
        <v>87</v>
      </c>
      <c r="E9" s="122" t="s">
        <v>1</v>
      </c>
      <c r="F9" s="120" t="s">
        <v>88</v>
      </c>
      <c r="G9" s="120" t="s">
        <v>89</v>
      </c>
      <c r="H9" s="123" t="s">
        <v>92</v>
      </c>
      <c r="I9" s="124" t="s">
        <v>90</v>
      </c>
      <c r="J9" s="125" t="s">
        <v>84</v>
      </c>
      <c r="K9" s="126" t="s">
        <v>91</v>
      </c>
      <c r="L9" s="126" t="s">
        <v>91</v>
      </c>
      <c r="M9" s="127" t="s">
        <v>92</v>
      </c>
      <c r="N9" s="120" t="s">
        <v>93</v>
      </c>
      <c r="P9" s="11"/>
    </row>
    <row r="10" spans="1:19" x14ac:dyDescent="0.3">
      <c r="A10" s="100">
        <v>1</v>
      </c>
      <c r="B10" s="90">
        <v>1</v>
      </c>
      <c r="C10" s="117" t="s">
        <v>36</v>
      </c>
      <c r="D10" s="102" t="s">
        <v>94</v>
      </c>
      <c r="E10" s="103">
        <v>5.1100000000000003</v>
      </c>
      <c r="F10" s="104">
        <v>2907.8</v>
      </c>
      <c r="G10" s="105">
        <v>3008.7</v>
      </c>
      <c r="H10" s="106">
        <f>G10-F10</f>
        <v>100.89999999999964</v>
      </c>
      <c r="I10" s="107">
        <f t="shared" ref="I10:I37" si="0">H10*7%</f>
        <v>7.0629999999999749</v>
      </c>
      <c r="J10" s="118">
        <f>M10*93.787</f>
        <v>9463.1082999999671</v>
      </c>
      <c r="K10" s="108">
        <f>K8*E10%</f>
        <v>-7290.8541344100067</v>
      </c>
      <c r="L10" s="129">
        <f>L$8*E10/S$12</f>
        <v>34382.560746589996</v>
      </c>
      <c r="M10" s="109">
        <f>G10-F10</f>
        <v>100.89999999999964</v>
      </c>
      <c r="N10" s="106">
        <f>J10+L10</f>
        <v>43845.669046589959</v>
      </c>
      <c r="O10" s="99">
        <f>N10+'prorrateo '!L3</f>
        <v>117232.71482758997</v>
      </c>
      <c r="P10" s="11"/>
    </row>
    <row r="11" spans="1:19" x14ac:dyDescent="0.3">
      <c r="A11" s="101">
        <v>2</v>
      </c>
      <c r="B11" s="91">
        <v>2</v>
      </c>
      <c r="C11" s="117" t="s">
        <v>39</v>
      </c>
      <c r="D11" s="102" t="s">
        <v>95</v>
      </c>
      <c r="E11" s="103">
        <v>5.09</v>
      </c>
      <c r="F11" s="104">
        <v>2970</v>
      </c>
      <c r="G11" s="105">
        <v>3024.8</v>
      </c>
      <c r="H11" s="106">
        <f t="shared" ref="H11:H27" si="1">G11-F11</f>
        <v>54.800000000000182</v>
      </c>
      <c r="I11" s="107">
        <f t="shared" si="0"/>
        <v>3.8360000000000132</v>
      </c>
      <c r="J11" s="118">
        <f t="shared" ref="J11:J26" si="2">M11*93.787</f>
        <v>5139.5276000000176</v>
      </c>
      <c r="K11" s="108">
        <f>K8*E11%</f>
        <v>-7262.3185017900059</v>
      </c>
      <c r="L11" s="129">
        <f t="shared" ref="L11:L36" si="3">L$8*E11/S$12</f>
        <v>34247.991037209991</v>
      </c>
      <c r="M11" s="109">
        <f t="shared" ref="M11:M26" si="4">G11-F11</f>
        <v>54.800000000000182</v>
      </c>
      <c r="N11" s="106">
        <f t="shared" ref="N11:N25" si="5">J11+L11</f>
        <v>39387.518637210007</v>
      </c>
      <c r="O11" s="99">
        <f>N11+'prorrateo '!L4</f>
        <v>112487.33527621001</v>
      </c>
      <c r="P11" s="11"/>
    </row>
    <row r="12" spans="1:19" ht="16.5" customHeight="1" x14ac:dyDescent="0.3">
      <c r="A12" s="100">
        <v>3</v>
      </c>
      <c r="B12" s="91">
        <v>3</v>
      </c>
      <c r="C12" s="117" t="s">
        <v>42</v>
      </c>
      <c r="D12" s="102" t="s">
        <v>96</v>
      </c>
      <c r="E12" s="103">
        <v>5.04</v>
      </c>
      <c r="F12" s="104">
        <v>1229.2</v>
      </c>
      <c r="G12" s="105">
        <v>1270.2</v>
      </c>
      <c r="H12" s="106">
        <f t="shared" si="1"/>
        <v>41</v>
      </c>
      <c r="I12" s="107">
        <f t="shared" si="0"/>
        <v>2.87</v>
      </c>
      <c r="J12" s="118">
        <f t="shared" si="2"/>
        <v>3845.2670000000003</v>
      </c>
      <c r="K12" s="108">
        <f>K8*E12%</f>
        <v>-7190.9794202400062</v>
      </c>
      <c r="L12" s="129">
        <f t="shared" si="3"/>
        <v>33911.566763759991</v>
      </c>
      <c r="M12" s="109">
        <f>G12-F12</f>
        <v>41</v>
      </c>
      <c r="N12" s="106">
        <f t="shared" si="5"/>
        <v>37756.833763759991</v>
      </c>
      <c r="O12" s="99">
        <f>N12+'prorrateo '!L5</f>
        <v>110138.57754775998</v>
      </c>
      <c r="P12" s="11"/>
      <c r="S12">
        <v>100</v>
      </c>
    </row>
    <row r="13" spans="1:19" x14ac:dyDescent="0.3">
      <c r="A13" s="100">
        <v>4</v>
      </c>
      <c r="B13" s="91" t="s">
        <v>97</v>
      </c>
      <c r="C13" s="187" t="s">
        <v>44</v>
      </c>
      <c r="D13" s="102" t="s">
        <v>98</v>
      </c>
      <c r="E13" s="188">
        <v>5.21</v>
      </c>
      <c r="F13" s="104">
        <v>651.1</v>
      </c>
      <c r="G13" s="105">
        <v>706.3</v>
      </c>
      <c r="H13" s="106">
        <f t="shared" si="1"/>
        <v>55.199999999999932</v>
      </c>
      <c r="I13" s="189">
        <f t="shared" si="0"/>
        <v>3.8639999999999954</v>
      </c>
      <c r="J13" s="118">
        <f t="shared" si="2"/>
        <v>5177.0423999999939</v>
      </c>
      <c r="K13" s="190">
        <f>K8*E13%</f>
        <v>-7433.5322975100062</v>
      </c>
      <c r="L13" s="129">
        <f t="shared" si="3"/>
        <v>35055.409293489989</v>
      </c>
      <c r="M13" s="191">
        <f t="shared" si="4"/>
        <v>55.199999999999932</v>
      </c>
      <c r="N13" s="106">
        <f t="shared" si="5"/>
        <v>40232.45169348998</v>
      </c>
      <c r="O13" s="99">
        <f>N13+'prorrateo '!L6</f>
        <v>115055.64318448998</v>
      </c>
      <c r="P13" s="11"/>
    </row>
    <row r="14" spans="1:19" x14ac:dyDescent="0.3">
      <c r="A14" s="100">
        <v>6</v>
      </c>
      <c r="B14" s="91">
        <v>6</v>
      </c>
      <c r="C14" s="117" t="s">
        <v>45</v>
      </c>
      <c r="D14" s="102" t="s">
        <v>99</v>
      </c>
      <c r="E14" s="103">
        <v>5.1100000000000003</v>
      </c>
      <c r="F14" s="104">
        <v>1270.7</v>
      </c>
      <c r="G14" s="105">
        <v>1352.4</v>
      </c>
      <c r="H14" s="106">
        <f t="shared" si="1"/>
        <v>81.700000000000045</v>
      </c>
      <c r="I14" s="107">
        <f t="shared" si="0"/>
        <v>5.7190000000000039</v>
      </c>
      <c r="J14" s="118">
        <f t="shared" si="2"/>
        <v>7662.3979000000045</v>
      </c>
      <c r="K14" s="108">
        <f>K8*E14%</f>
        <v>-7290.8541344100067</v>
      </c>
      <c r="L14" s="129">
        <f t="shared" si="3"/>
        <v>34382.560746589996</v>
      </c>
      <c r="M14" s="109">
        <f t="shared" si="4"/>
        <v>81.700000000000045</v>
      </c>
      <c r="N14" s="106">
        <f t="shared" si="5"/>
        <v>42044.958646589999</v>
      </c>
      <c r="O14" s="99">
        <f>N14+'prorrateo '!L7</f>
        <v>115432.00442759</v>
      </c>
      <c r="P14" s="11"/>
    </row>
    <row r="15" spans="1:19" x14ac:dyDescent="0.3">
      <c r="A15" s="100">
        <v>7</v>
      </c>
      <c r="B15" s="91">
        <v>7</v>
      </c>
      <c r="C15" s="117" t="s">
        <v>47</v>
      </c>
      <c r="D15" s="102" t="s">
        <v>99</v>
      </c>
      <c r="E15" s="103">
        <v>5.09</v>
      </c>
      <c r="F15" s="104">
        <v>2295.1999999999998</v>
      </c>
      <c r="G15" s="105">
        <v>2383.1999999999998</v>
      </c>
      <c r="H15" s="106">
        <f t="shared" si="1"/>
        <v>88</v>
      </c>
      <c r="I15" s="107">
        <f t="shared" si="0"/>
        <v>6.16</v>
      </c>
      <c r="J15" s="118">
        <f t="shared" si="2"/>
        <v>8253.2560000000012</v>
      </c>
      <c r="K15" s="108">
        <f>K8*E15%</f>
        <v>-7262.3185017900059</v>
      </c>
      <c r="L15" s="129">
        <f t="shared" si="3"/>
        <v>34247.991037209991</v>
      </c>
      <c r="M15" s="109">
        <f t="shared" si="4"/>
        <v>88</v>
      </c>
      <c r="N15" s="106">
        <f t="shared" si="5"/>
        <v>42501.247037209992</v>
      </c>
      <c r="O15" s="99">
        <f>N15+'prorrateo '!L8</f>
        <v>115601.06367620999</v>
      </c>
    </row>
    <row r="16" spans="1:19" x14ac:dyDescent="0.3">
      <c r="A16" s="100">
        <v>8</v>
      </c>
      <c r="B16" s="91">
        <v>8</v>
      </c>
      <c r="C16" s="117" t="s">
        <v>49</v>
      </c>
      <c r="D16" s="102" t="s">
        <v>100</v>
      </c>
      <c r="E16" s="103">
        <v>5.1100000000000003</v>
      </c>
      <c r="F16" s="104">
        <v>1912.5</v>
      </c>
      <c r="G16" s="105">
        <v>1975.4</v>
      </c>
      <c r="H16" s="106">
        <f t="shared" si="1"/>
        <v>62.900000000000091</v>
      </c>
      <c r="I16" s="107">
        <f t="shared" si="0"/>
        <v>4.4030000000000067</v>
      </c>
      <c r="J16" s="118">
        <f t="shared" si="2"/>
        <v>5899.202300000009</v>
      </c>
      <c r="K16" s="108">
        <f>K8*E16%</f>
        <v>-7290.8541344100067</v>
      </c>
      <c r="L16" s="129">
        <f t="shared" si="3"/>
        <v>34382.560746589996</v>
      </c>
      <c r="M16" s="109">
        <f t="shared" si="4"/>
        <v>62.900000000000091</v>
      </c>
      <c r="N16" s="106">
        <f t="shared" si="5"/>
        <v>40281.763046590007</v>
      </c>
      <c r="O16" s="99">
        <f>N16+'prorrateo '!L9</f>
        <v>113668.80882759002</v>
      </c>
    </row>
    <row r="17" spans="1:15" x14ac:dyDescent="0.3">
      <c r="A17" s="100">
        <v>9</v>
      </c>
      <c r="B17" s="91">
        <v>9</v>
      </c>
      <c r="C17" s="206" t="s">
        <v>51</v>
      </c>
      <c r="D17" s="207" t="s">
        <v>101</v>
      </c>
      <c r="E17" s="208">
        <v>5.09</v>
      </c>
      <c r="F17" s="209">
        <v>2922.7</v>
      </c>
      <c r="G17" s="210">
        <v>3022.6</v>
      </c>
      <c r="H17" s="211">
        <f t="shared" si="1"/>
        <v>99.900000000000091</v>
      </c>
      <c r="I17" s="212">
        <f t="shared" si="0"/>
        <v>6.9930000000000074</v>
      </c>
      <c r="J17" s="213">
        <f t="shared" si="2"/>
        <v>9369.3213000000087</v>
      </c>
      <c r="K17" s="214">
        <f>K8*E17%</f>
        <v>-7262.3185017900059</v>
      </c>
      <c r="L17" s="215">
        <f t="shared" si="3"/>
        <v>34247.991037209991</v>
      </c>
      <c r="M17" s="216">
        <f t="shared" si="4"/>
        <v>99.900000000000091</v>
      </c>
      <c r="N17" s="211">
        <f t="shared" si="5"/>
        <v>43617.312337210002</v>
      </c>
      <c r="O17" s="99">
        <f>N17+'prorrateo '!L10</f>
        <v>384003.56153601955</v>
      </c>
    </row>
    <row r="18" spans="1:15" x14ac:dyDescent="0.3">
      <c r="A18" s="100">
        <v>10</v>
      </c>
      <c r="B18" s="91">
        <v>10</v>
      </c>
      <c r="C18" s="117" t="s">
        <v>52</v>
      </c>
      <c r="D18" s="102" t="s">
        <v>102</v>
      </c>
      <c r="E18" s="103">
        <v>5.04</v>
      </c>
      <c r="F18" s="104">
        <v>1623.9</v>
      </c>
      <c r="G18" s="105">
        <v>1692.8</v>
      </c>
      <c r="H18" s="106">
        <f t="shared" si="1"/>
        <v>68.899999999999864</v>
      </c>
      <c r="I18" s="107">
        <f t="shared" si="0"/>
        <v>4.8229999999999906</v>
      </c>
      <c r="J18" s="118">
        <f t="shared" si="2"/>
        <v>6461.9242999999879</v>
      </c>
      <c r="K18" s="108">
        <f>K8*E18%</f>
        <v>-7190.9794202400062</v>
      </c>
      <c r="L18" s="129">
        <f t="shared" si="3"/>
        <v>33911.566763759991</v>
      </c>
      <c r="M18" s="109">
        <f t="shared" si="4"/>
        <v>68.899999999999864</v>
      </c>
      <c r="N18" s="106">
        <f t="shared" si="5"/>
        <v>40373.491063759982</v>
      </c>
      <c r="O18" s="99">
        <f>N18+'prorrateo '!L11</f>
        <v>112755.23484775997</v>
      </c>
    </row>
    <row r="19" spans="1:15" ht="15" customHeight="1" x14ac:dyDescent="0.3">
      <c r="A19" s="100">
        <v>11</v>
      </c>
      <c r="B19" s="91">
        <v>11</v>
      </c>
      <c r="C19" s="117" t="s">
        <v>54</v>
      </c>
      <c r="D19" s="110" t="s">
        <v>103</v>
      </c>
      <c r="E19" s="103">
        <v>5.21</v>
      </c>
      <c r="F19" s="104">
        <v>2588.5</v>
      </c>
      <c r="G19" s="105">
        <v>2773.4</v>
      </c>
      <c r="H19" s="106">
        <f t="shared" si="1"/>
        <v>184.90000000000009</v>
      </c>
      <c r="I19" s="107">
        <f t="shared" si="0"/>
        <v>12.943000000000007</v>
      </c>
      <c r="J19" s="118">
        <f t="shared" si="2"/>
        <v>17341.216300000011</v>
      </c>
      <c r="K19" s="108">
        <f>K8*E19%</f>
        <v>-7433.5322975100062</v>
      </c>
      <c r="L19" s="129">
        <f t="shared" si="3"/>
        <v>35055.409293489989</v>
      </c>
      <c r="M19" s="109">
        <f>G19-F19</f>
        <v>184.90000000000009</v>
      </c>
      <c r="N19" s="106">
        <f t="shared" si="5"/>
        <v>52396.625593489996</v>
      </c>
      <c r="O19" s="99">
        <f>N19+'prorrateo '!L12</f>
        <v>127219.81708449</v>
      </c>
    </row>
    <row r="20" spans="1:15" ht="15" customHeight="1" x14ac:dyDescent="0.3">
      <c r="A20" s="100">
        <v>12</v>
      </c>
      <c r="B20" s="91">
        <v>12</v>
      </c>
      <c r="C20" s="117" t="s">
        <v>57</v>
      </c>
      <c r="D20" s="110" t="s">
        <v>103</v>
      </c>
      <c r="E20" s="103">
        <v>5.1100000000000003</v>
      </c>
      <c r="F20" s="104">
        <v>4306.2</v>
      </c>
      <c r="G20" s="105">
        <v>4496.3</v>
      </c>
      <c r="H20" s="106">
        <f t="shared" si="1"/>
        <v>190.10000000000036</v>
      </c>
      <c r="I20" s="107">
        <f t="shared" si="0"/>
        <v>13.307000000000027</v>
      </c>
      <c r="J20" s="118">
        <f t="shared" si="2"/>
        <v>17828.908700000036</v>
      </c>
      <c r="K20" s="108">
        <f>K8*E20%</f>
        <v>-7290.8541344100067</v>
      </c>
      <c r="L20" s="129">
        <f t="shared" si="3"/>
        <v>34382.560746589996</v>
      </c>
      <c r="M20" s="109">
        <f t="shared" si="4"/>
        <v>190.10000000000036</v>
      </c>
      <c r="N20" s="106">
        <f t="shared" si="5"/>
        <v>52211.469446590032</v>
      </c>
      <c r="O20" s="99">
        <f>N20+'prorrateo '!L13</f>
        <v>125598.51522759005</v>
      </c>
    </row>
    <row r="21" spans="1:15" x14ac:dyDescent="0.3">
      <c r="A21" s="100">
        <v>13</v>
      </c>
      <c r="B21" s="91">
        <v>13</v>
      </c>
      <c r="C21" s="117" t="s">
        <v>58</v>
      </c>
      <c r="D21" s="102" t="s">
        <v>104</v>
      </c>
      <c r="E21" s="103">
        <v>5.09</v>
      </c>
      <c r="F21" s="104">
        <v>3467</v>
      </c>
      <c r="G21" s="105">
        <v>3467.1</v>
      </c>
      <c r="H21" s="106">
        <f t="shared" si="1"/>
        <v>9.9999999999909051E-2</v>
      </c>
      <c r="I21" s="107">
        <f t="shared" si="0"/>
        <v>6.9999999999936346E-3</v>
      </c>
      <c r="J21" s="118">
        <f t="shared" si="2"/>
        <v>9.3786999999914702</v>
      </c>
      <c r="K21" s="108">
        <f>K8*E21%</f>
        <v>-7262.3185017900059</v>
      </c>
      <c r="L21" s="129">
        <f t="shared" si="3"/>
        <v>34247.991037209991</v>
      </c>
      <c r="M21" s="109">
        <f t="shared" si="4"/>
        <v>9.9999999999909051E-2</v>
      </c>
      <c r="N21" s="106">
        <f t="shared" si="5"/>
        <v>34257.369737209985</v>
      </c>
      <c r="O21" s="99">
        <f>N21+'prorrateo '!L14</f>
        <v>107357.18637620998</v>
      </c>
    </row>
    <row r="22" spans="1:15" x14ac:dyDescent="0.3">
      <c r="A22" s="100">
        <v>14</v>
      </c>
      <c r="B22" s="91">
        <v>14</v>
      </c>
      <c r="C22" s="153" t="s">
        <v>61</v>
      </c>
      <c r="D22" s="154" t="s">
        <v>105</v>
      </c>
      <c r="E22" s="155">
        <v>5.04</v>
      </c>
      <c r="F22" s="156">
        <v>1942</v>
      </c>
      <c r="G22" s="157">
        <v>2015.9</v>
      </c>
      <c r="H22" s="158">
        <f t="shared" si="1"/>
        <v>73.900000000000091</v>
      </c>
      <c r="I22" s="159">
        <f t="shared" si="0"/>
        <v>5.1730000000000071</v>
      </c>
      <c r="J22" s="160">
        <f t="shared" si="2"/>
        <v>6930.8593000000092</v>
      </c>
      <c r="K22" s="161">
        <f>K8*E22%</f>
        <v>-7190.9794202400062</v>
      </c>
      <c r="L22" s="162">
        <f t="shared" si="3"/>
        <v>33911.566763759991</v>
      </c>
      <c r="M22" s="163">
        <f t="shared" si="4"/>
        <v>73.900000000000091</v>
      </c>
      <c r="N22" s="158">
        <f t="shared" si="5"/>
        <v>40842.426063760002</v>
      </c>
      <c r="O22" s="99">
        <f>N22+'prorrateo '!L15</f>
        <v>255108.35683621082</v>
      </c>
    </row>
    <row r="23" spans="1:15" x14ac:dyDescent="0.3">
      <c r="A23" s="100">
        <v>15</v>
      </c>
      <c r="B23" s="91">
        <v>15</v>
      </c>
      <c r="C23" s="117" t="s">
        <v>64</v>
      </c>
      <c r="D23" s="102" t="s">
        <v>106</v>
      </c>
      <c r="E23" s="103">
        <v>5.21</v>
      </c>
      <c r="F23" s="104">
        <v>3945.7</v>
      </c>
      <c r="G23" s="105">
        <v>4072.7</v>
      </c>
      <c r="H23" s="106">
        <f t="shared" si="1"/>
        <v>127</v>
      </c>
      <c r="I23" s="107">
        <f t="shared" si="0"/>
        <v>8.89</v>
      </c>
      <c r="J23" s="118">
        <f t="shared" si="2"/>
        <v>11910.949000000001</v>
      </c>
      <c r="K23" s="108">
        <f>K8*E23%</f>
        <v>-7433.5322975100062</v>
      </c>
      <c r="L23" s="129">
        <f t="shared" si="3"/>
        <v>35055.409293489989</v>
      </c>
      <c r="M23" s="109">
        <f t="shared" si="4"/>
        <v>127</v>
      </c>
      <c r="N23" s="106">
        <f t="shared" si="5"/>
        <v>46966.35829348999</v>
      </c>
      <c r="O23" s="99">
        <f>N23+'prorrateo '!L16</f>
        <v>121789.54978448999</v>
      </c>
    </row>
    <row r="24" spans="1:15" x14ac:dyDescent="0.3">
      <c r="A24" s="100">
        <v>16</v>
      </c>
      <c r="B24" s="91">
        <v>16</v>
      </c>
      <c r="C24" s="117" t="s">
        <v>66</v>
      </c>
      <c r="D24" s="102" t="s">
        <v>107</v>
      </c>
      <c r="E24" s="103">
        <v>5.04</v>
      </c>
      <c r="F24" s="104">
        <v>1413.7</v>
      </c>
      <c r="G24" s="105">
        <v>1462.2</v>
      </c>
      <c r="H24" s="106">
        <f t="shared" si="1"/>
        <v>48.5</v>
      </c>
      <c r="I24" s="107">
        <f t="shared" si="0"/>
        <v>3.3950000000000005</v>
      </c>
      <c r="J24" s="118">
        <f t="shared" si="2"/>
        <v>4548.6695</v>
      </c>
      <c r="K24" s="108">
        <f>K8*E24%</f>
        <v>-7190.9794202400062</v>
      </c>
      <c r="L24" s="129">
        <f t="shared" si="3"/>
        <v>33911.566763759991</v>
      </c>
      <c r="M24" s="109">
        <f t="shared" si="4"/>
        <v>48.5</v>
      </c>
      <c r="N24" s="106">
        <f t="shared" si="5"/>
        <v>38460.236263759987</v>
      </c>
      <c r="O24" s="99">
        <f>N24+'prorrateo '!L17</f>
        <v>110841.98004775998</v>
      </c>
    </row>
    <row r="25" spans="1:15" x14ac:dyDescent="0.3">
      <c r="A25" s="100">
        <v>17</v>
      </c>
      <c r="B25" s="91">
        <v>17</v>
      </c>
      <c r="C25" s="117" t="s">
        <v>68</v>
      </c>
      <c r="D25" s="102" t="s">
        <v>108</v>
      </c>
      <c r="E25" s="103">
        <v>5.21</v>
      </c>
      <c r="F25" s="104">
        <v>1261.5999999999999</v>
      </c>
      <c r="G25" s="105">
        <v>1352.5</v>
      </c>
      <c r="H25" s="106">
        <f t="shared" si="1"/>
        <v>90.900000000000091</v>
      </c>
      <c r="I25" s="107">
        <f t="shared" si="0"/>
        <v>6.3630000000000067</v>
      </c>
      <c r="J25" s="118">
        <f t="shared" si="2"/>
        <v>8525.23830000001</v>
      </c>
      <c r="K25" s="108">
        <f>K8*E25%</f>
        <v>-7433.5322975100062</v>
      </c>
      <c r="L25" s="129">
        <f t="shared" si="3"/>
        <v>35055.409293489989</v>
      </c>
      <c r="M25" s="109">
        <f t="shared" si="4"/>
        <v>90.900000000000091</v>
      </c>
      <c r="N25" s="106">
        <f t="shared" si="5"/>
        <v>43580.647593490001</v>
      </c>
      <c r="O25" s="99">
        <f>N25+'prorrateo '!L18</f>
        <v>118403.83908449</v>
      </c>
    </row>
    <row r="26" spans="1:15" x14ac:dyDescent="0.3">
      <c r="A26" s="100">
        <v>18</v>
      </c>
      <c r="B26" s="91">
        <v>18</v>
      </c>
      <c r="C26" s="117" t="s">
        <v>70</v>
      </c>
      <c r="D26" s="102" t="s">
        <v>109</v>
      </c>
      <c r="E26" s="103">
        <v>7.4</v>
      </c>
      <c r="F26" s="104">
        <v>6950</v>
      </c>
      <c r="G26" s="105">
        <v>7102.6</v>
      </c>
      <c r="H26" s="106">
        <f t="shared" si="1"/>
        <v>152.60000000000036</v>
      </c>
      <c r="I26" s="107">
        <f t="shared" si="0"/>
        <v>10.682000000000027</v>
      </c>
      <c r="J26" s="118">
        <f t="shared" si="2"/>
        <v>14311.896200000036</v>
      </c>
      <c r="K26" s="108">
        <f>K8*E26%</f>
        <v>-10558.184069400011</v>
      </c>
      <c r="L26" s="129">
        <f t="shared" si="3"/>
        <v>49790.79247059999</v>
      </c>
      <c r="M26" s="109">
        <f t="shared" si="4"/>
        <v>152.60000000000036</v>
      </c>
      <c r="N26" s="106">
        <f>J26+L26</f>
        <v>64102.688670600022</v>
      </c>
      <c r="O26" s="99">
        <f>N26+'prorrateo '!L19</f>
        <v>170377.47121060002</v>
      </c>
    </row>
    <row r="27" spans="1:15" ht="14.25" customHeight="1" x14ac:dyDescent="0.3">
      <c r="A27" s="100">
        <v>19</v>
      </c>
      <c r="B27" s="92">
        <v>19</v>
      </c>
      <c r="C27" s="217" t="s">
        <v>71</v>
      </c>
      <c r="D27" s="218" t="s">
        <v>103</v>
      </c>
      <c r="E27" s="219">
        <v>1.08</v>
      </c>
      <c r="F27" s="209"/>
      <c r="G27" s="210"/>
      <c r="H27" s="211">
        <f t="shared" si="1"/>
        <v>0</v>
      </c>
      <c r="I27" s="212">
        <f t="shared" si="0"/>
        <v>0</v>
      </c>
      <c r="J27" s="213"/>
      <c r="K27" s="214"/>
      <c r="L27" s="215">
        <f t="shared" si="3"/>
        <v>7266.7643065199991</v>
      </c>
      <c r="M27" s="216">
        <v>0</v>
      </c>
      <c r="N27" s="211">
        <f t="shared" ref="N27:N37" si="6">J27+L27</f>
        <v>7266.7643065199991</v>
      </c>
      <c r="O27" s="99">
        <f>N27+'prorrateo '!L20</f>
        <v>79490.172780923604</v>
      </c>
    </row>
    <row r="28" spans="1:15" x14ac:dyDescent="0.3">
      <c r="A28" s="100">
        <v>20</v>
      </c>
      <c r="B28" s="92"/>
      <c r="C28" s="192" t="s">
        <v>72</v>
      </c>
      <c r="D28" s="104"/>
      <c r="E28" s="104">
        <v>1.08</v>
      </c>
      <c r="F28" s="104"/>
      <c r="G28" s="104"/>
      <c r="H28" s="106">
        <v>0</v>
      </c>
      <c r="I28" s="193">
        <f t="shared" si="0"/>
        <v>0</v>
      </c>
      <c r="J28" s="194"/>
      <c r="K28" s="108"/>
      <c r="L28" s="129">
        <f t="shared" si="3"/>
        <v>7266.7643065199991</v>
      </c>
      <c r="M28" s="109">
        <v>0</v>
      </c>
      <c r="N28" s="106">
        <f t="shared" si="6"/>
        <v>7266.7643065199991</v>
      </c>
      <c r="O28" s="99">
        <f>N28+'prorrateo '!L21</f>
        <v>22777.137974519999</v>
      </c>
    </row>
    <row r="29" spans="1:15" x14ac:dyDescent="0.3">
      <c r="A29" s="100"/>
      <c r="B29" s="92"/>
      <c r="C29" s="180" t="s">
        <v>73</v>
      </c>
      <c r="D29" s="156"/>
      <c r="E29" s="156">
        <v>1.08</v>
      </c>
      <c r="F29" s="156"/>
      <c r="G29" s="156"/>
      <c r="H29" s="158"/>
      <c r="I29" s="181"/>
      <c r="J29" s="182"/>
      <c r="K29" s="161"/>
      <c r="L29" s="162">
        <f t="shared" si="3"/>
        <v>7266.7643065199991</v>
      </c>
      <c r="M29" s="163">
        <v>0</v>
      </c>
      <c r="N29" s="158">
        <f t="shared" si="6"/>
        <v>7266.7643065199991</v>
      </c>
      <c r="O29" s="99">
        <f>N29+'prorrateo '!L22</f>
        <v>79490.172780923604</v>
      </c>
    </row>
    <row r="30" spans="1:15" x14ac:dyDescent="0.3">
      <c r="A30" s="100"/>
      <c r="B30" s="92"/>
      <c r="C30" s="192" t="s">
        <v>74</v>
      </c>
      <c r="D30" s="104"/>
      <c r="E30" s="104">
        <v>1.08</v>
      </c>
      <c r="F30" s="104"/>
      <c r="G30" s="104"/>
      <c r="H30" s="106"/>
      <c r="I30" s="193"/>
      <c r="J30" s="194"/>
      <c r="K30" s="108"/>
      <c r="L30" s="129">
        <f t="shared" si="3"/>
        <v>7266.7643065199991</v>
      </c>
      <c r="M30" s="109">
        <v>0</v>
      </c>
      <c r="N30" s="106">
        <f t="shared" si="6"/>
        <v>7266.7643065199991</v>
      </c>
      <c r="O30" s="99">
        <f>N30+'prorrateo '!L23</f>
        <v>22777.137974519999</v>
      </c>
    </row>
    <row r="31" spans="1:15" x14ac:dyDescent="0.3">
      <c r="A31" s="100"/>
      <c r="B31" s="92"/>
      <c r="C31" s="192" t="s">
        <v>75</v>
      </c>
      <c r="D31" s="104"/>
      <c r="E31" s="104">
        <v>1.08</v>
      </c>
      <c r="F31" s="104"/>
      <c r="G31" s="104"/>
      <c r="H31" s="106"/>
      <c r="I31" s="193"/>
      <c r="J31" s="194"/>
      <c r="K31" s="108"/>
      <c r="L31" s="129">
        <f t="shared" si="3"/>
        <v>7266.7643065199991</v>
      </c>
      <c r="M31" s="109">
        <v>0</v>
      </c>
      <c r="N31" s="106">
        <f t="shared" si="6"/>
        <v>7266.7643065199991</v>
      </c>
      <c r="O31" s="99">
        <f>N31+'prorrateo '!L24</f>
        <v>22777.137974519999</v>
      </c>
    </row>
    <row r="32" spans="1:15" x14ac:dyDescent="0.3">
      <c r="A32" s="100"/>
      <c r="B32" s="92"/>
      <c r="C32" s="132" t="s">
        <v>76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7266.7643065199991</v>
      </c>
      <c r="M32" s="109">
        <v>0</v>
      </c>
      <c r="N32" s="106">
        <f t="shared" si="6"/>
        <v>7266.7643065199991</v>
      </c>
      <c r="O32" s="99">
        <f>N32+'prorrateo '!L25</f>
        <v>22777.137974519999</v>
      </c>
    </row>
    <row r="33" spans="1:16" x14ac:dyDescent="0.3">
      <c r="A33" s="100"/>
      <c r="B33" s="92"/>
      <c r="C33" s="132" t="s">
        <v>77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7266.7643065199991</v>
      </c>
      <c r="M33" s="109">
        <v>0</v>
      </c>
      <c r="N33" s="106">
        <f t="shared" si="6"/>
        <v>7266.7643065199991</v>
      </c>
      <c r="O33" s="99">
        <f>N33+'prorrateo '!L26</f>
        <v>22777.137974519999</v>
      </c>
    </row>
    <row r="34" spans="1:16" x14ac:dyDescent="0.3">
      <c r="A34" s="100"/>
      <c r="B34" s="92"/>
      <c r="C34" s="132" t="s">
        <v>78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7266.7643065199991</v>
      </c>
      <c r="M34" s="109">
        <v>0</v>
      </c>
      <c r="N34" s="106">
        <f t="shared" si="6"/>
        <v>7266.7643065199991</v>
      </c>
      <c r="O34" s="99">
        <f>N34+'prorrateo '!L27</f>
        <v>22777.137974519999</v>
      </c>
    </row>
    <row r="35" spans="1:16" x14ac:dyDescent="0.3">
      <c r="A35" s="100">
        <v>21</v>
      </c>
      <c r="B35" s="92"/>
      <c r="C35" s="192" t="s">
        <v>79</v>
      </c>
      <c r="D35" s="104"/>
      <c r="E35" s="104">
        <v>1.08</v>
      </c>
      <c r="F35" s="104"/>
      <c r="G35" s="104"/>
      <c r="H35" s="106">
        <v>0</v>
      </c>
      <c r="I35" s="193">
        <f t="shared" si="0"/>
        <v>0</v>
      </c>
      <c r="J35" s="222"/>
      <c r="K35" s="108"/>
      <c r="L35" s="129">
        <f t="shared" si="3"/>
        <v>7266.7643065199991</v>
      </c>
      <c r="M35" s="109">
        <v>0</v>
      </c>
      <c r="N35" s="106">
        <f t="shared" si="6"/>
        <v>7266.7643065199991</v>
      </c>
      <c r="O35" s="99">
        <f>N35+'prorrateo '!L28</f>
        <v>22777.137974519999</v>
      </c>
    </row>
    <row r="36" spans="1:16" x14ac:dyDescent="0.3">
      <c r="A36" s="100">
        <v>22</v>
      </c>
      <c r="B36" s="92"/>
      <c r="C36" s="180" t="s">
        <v>80</v>
      </c>
      <c r="D36" s="156"/>
      <c r="E36" s="156">
        <v>1.08</v>
      </c>
      <c r="F36" s="156"/>
      <c r="G36" s="156"/>
      <c r="H36" s="158">
        <v>0</v>
      </c>
      <c r="I36" s="181">
        <f t="shared" si="0"/>
        <v>0</v>
      </c>
      <c r="J36" s="195"/>
      <c r="K36" s="161"/>
      <c r="L36" s="162">
        <f t="shared" si="3"/>
        <v>7266.7643065199991</v>
      </c>
      <c r="M36" s="163">
        <v>0</v>
      </c>
      <c r="N36" s="158">
        <f t="shared" si="6"/>
        <v>7266.7643065199991</v>
      </c>
      <c r="O36" s="99">
        <f>N36+'prorrateo '!L29</f>
        <v>42321.886897003191</v>
      </c>
    </row>
    <row r="37" spans="1:16" x14ac:dyDescent="0.3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3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142678.16310000012</v>
      </c>
      <c r="K38" s="115"/>
      <c r="L38" s="115">
        <f>SUM(L10:L37)</f>
        <v>672848.54689999984</v>
      </c>
      <c r="M38" s="116"/>
      <c r="N38" s="112">
        <f>SUM(N10:N37)</f>
        <v>815526.71</v>
      </c>
      <c r="P38" s="44"/>
    </row>
    <row r="39" spans="1:16" hidden="1" x14ac:dyDescent="0.3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106.49100000000006</v>
      </c>
      <c r="J39" s="128"/>
      <c r="K39" s="96"/>
      <c r="L39" s="135">
        <f>L38+J38</f>
        <v>815526.71</v>
      </c>
      <c r="M39" s="95"/>
      <c r="N39" s="95"/>
      <c r="O39" s="81"/>
    </row>
    <row r="40" spans="1:16" ht="28.8" hidden="1" x14ac:dyDescent="0.3">
      <c r="A40" s="97" t="s">
        <v>110</v>
      </c>
      <c r="C40" s="232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97"/>
    </row>
    <row r="41" spans="1:16" x14ac:dyDescent="0.3">
      <c r="H41" s="81"/>
      <c r="J41" s="98"/>
      <c r="K41" s="98"/>
      <c r="L41" s="98"/>
      <c r="N41" s="99"/>
    </row>
    <row r="43" spans="1:16" x14ac:dyDescent="0.3">
      <c r="E43" s="4"/>
    </row>
    <row r="44" spans="1:16" x14ac:dyDescent="0.3">
      <c r="L44" s="164"/>
    </row>
    <row r="45" spans="1:16" x14ac:dyDescent="0.3">
      <c r="L45" s="98"/>
    </row>
    <row r="46" spans="1:16" x14ac:dyDescent="0.3">
      <c r="E46" s="165"/>
      <c r="F46" s="165"/>
      <c r="G46" s="165"/>
      <c r="H46" s="165"/>
      <c r="I46" s="165"/>
      <c r="J46" s="165"/>
      <c r="K46" s="165"/>
      <c r="L46" s="166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2025-04-30T15:16:05Z</cp:lastPrinted>
  <dcterms:created xsi:type="dcterms:W3CDTF">2020-12-10T00:27:53Z</dcterms:created>
  <dcterms:modified xsi:type="dcterms:W3CDTF">2025-05-20T14:22:31Z</dcterms:modified>
</cp:coreProperties>
</file>