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ROSALES\Octubre\"/>
    </mc:Choice>
  </mc:AlternateContent>
  <xr:revisionPtr revIDLastSave="0" documentId="13_ncr:1_{9BAACF8B-066A-4F59-A567-DBA2E3E26408}" xr6:coauthVersionLast="47" xr6:coauthVersionMax="47" xr10:uidLastSave="{00000000-0000-0000-0000-000000000000}"/>
  <bookViews>
    <workbookView xWindow="-120" yWindow="-120" windowWidth="20730" windowHeight="11160" activeTab="1" xr2:uid="{00000000-000D-0000-FFFF-FFFF00000000}"/>
  </bookViews>
  <sheets>
    <sheet name="detalle y gastos" sheetId="3" r:id="rId1"/>
    <sheet name="prorrateo " sheetId="1" r:id="rId2"/>
    <sheet name="Edesur" sheetId="4" r:id="rId3"/>
  </sheets>
  <definedNames>
    <definedName name="_xlnm.Print_Area" localSheetId="0">'detalle y gastos'!$A$1:$C$67</definedName>
    <definedName name="_xlnm.Print_Area" localSheetId="2">Edesur!$A$1:$N$40</definedName>
    <definedName name="_xlnm.Print_Area" localSheetId="1">'prorrateo '!$A$1:$L$37</definedName>
  </definedNames>
  <calcPr calcId="181029"/>
</workbook>
</file>

<file path=xl/calcChain.xml><?xml version="1.0" encoding="utf-8"?>
<calcChain xmlns="http://schemas.openxmlformats.org/spreadsheetml/2006/main">
  <c r="B1" i="1" l="1"/>
  <c r="K1" i="1"/>
  <c r="C6" i="4"/>
  <c r="C56" i="3"/>
  <c r="H10" i="4"/>
  <c r="F15" i="1"/>
  <c r="F3" i="1"/>
  <c r="F4" i="1"/>
  <c r="F18" i="1"/>
  <c r="F17" i="1"/>
  <c r="C24" i="3" l="1"/>
  <c r="C26" i="3"/>
  <c r="C31" i="3" s="1"/>
  <c r="C32" i="3" l="1"/>
  <c r="K4" i="1"/>
  <c r="K5" i="1"/>
  <c r="K6" i="1"/>
  <c r="K7" i="1"/>
  <c r="K8" i="1"/>
  <c r="K9" i="1"/>
  <c r="K10" i="1"/>
  <c r="K11" i="1"/>
  <c r="K12" i="1"/>
  <c r="K13" i="1"/>
  <c r="K14" i="1"/>
  <c r="K15" i="1"/>
  <c r="K16" i="1"/>
  <c r="K17" i="1"/>
  <c r="K18" i="1"/>
  <c r="K19" i="1"/>
  <c r="K20" i="1"/>
  <c r="K21" i="1"/>
  <c r="K22" i="1"/>
  <c r="K23" i="1"/>
  <c r="K24" i="1"/>
  <c r="K25" i="1"/>
  <c r="K26" i="1"/>
  <c r="K27" i="1"/>
  <c r="K28" i="1"/>
  <c r="K29" i="1"/>
  <c r="K3" i="1"/>
  <c r="J3" i="1"/>
  <c r="F9" i="1"/>
  <c r="F13" i="1" l="1"/>
  <c r="F6" i="1"/>
  <c r="F29" i="1"/>
  <c r="F10" i="1" l="1"/>
  <c r="F20" i="1" l="1"/>
  <c r="F24" i="1" l="1"/>
  <c r="F8" i="1" l="1"/>
  <c r="F21" i="1"/>
  <c r="F16" i="1"/>
  <c r="F28" i="1" l="1"/>
  <c r="F26" i="1"/>
  <c r="F27" i="1"/>
  <c r="F7" i="1" l="1"/>
  <c r="J4" i="1" l="1"/>
  <c r="J5" i="1"/>
  <c r="J6" i="1"/>
  <c r="J7" i="1"/>
  <c r="J8" i="1"/>
  <c r="J9" i="1"/>
  <c r="J10" i="1"/>
  <c r="J11" i="1"/>
  <c r="J12" i="1"/>
  <c r="J13" i="1"/>
  <c r="J14" i="1"/>
  <c r="J15" i="1"/>
  <c r="J16" i="1"/>
  <c r="J17" i="1"/>
  <c r="J18" i="1"/>
  <c r="J19" i="1"/>
  <c r="J20" i="1"/>
  <c r="J21" i="1"/>
  <c r="J22" i="1"/>
  <c r="J23" i="1"/>
  <c r="J24" i="1"/>
  <c r="J25" i="1"/>
  <c r="J26" i="1"/>
  <c r="J27" i="1"/>
  <c r="J28" i="1"/>
  <c r="J29" i="1"/>
  <c r="B28" i="1" l="1"/>
  <c r="I3" i="1" l="1"/>
  <c r="F11" i="1"/>
  <c r="F19" i="1"/>
  <c r="O27" i="1" s="1"/>
  <c r="J7" i="4"/>
  <c r="C51" i="3" l="1"/>
  <c r="E39" i="4"/>
  <c r="N37" i="4"/>
  <c r="M25" i="4" l="1"/>
  <c r="M26" i="4"/>
  <c r="M10" i="4"/>
  <c r="J10" i="4" s="1"/>
  <c r="H13" i="4"/>
  <c r="I13" i="4" s="1"/>
  <c r="H15" i="4"/>
  <c r="I15" i="4" s="1"/>
  <c r="M16" i="4"/>
  <c r="J16" i="4" s="1"/>
  <c r="M17" i="4"/>
  <c r="J17" i="4" s="1"/>
  <c r="M22" i="4"/>
  <c r="J22" i="4" s="1"/>
  <c r="M23" i="4"/>
  <c r="J23" i="4" s="1"/>
  <c r="H24" i="4"/>
  <c r="I24" i="4" s="1"/>
  <c r="H25" i="4"/>
  <c r="I25" i="4" s="1"/>
  <c r="H26" i="4"/>
  <c r="I26" i="4" s="1"/>
  <c r="H11" i="4"/>
  <c r="I11" i="4" s="1"/>
  <c r="H12" i="4"/>
  <c r="I12" i="4" s="1"/>
  <c r="H14" i="4"/>
  <c r="I14" i="4" s="1"/>
  <c r="H18" i="4"/>
  <c r="I18" i="4" s="1"/>
  <c r="H19" i="4"/>
  <c r="I19" i="4" s="1"/>
  <c r="H20" i="4"/>
  <c r="I20" i="4" s="1"/>
  <c r="H21" i="4"/>
  <c r="I21" i="4" s="1"/>
  <c r="H22" i="4"/>
  <c r="I22" i="4" s="1"/>
  <c r="H23" i="4"/>
  <c r="I23" i="4" s="1"/>
  <c r="H27" i="4"/>
  <c r="I27" i="4" s="1"/>
  <c r="I37" i="4"/>
  <c r="I36" i="4"/>
  <c r="I35" i="4"/>
  <c r="I28" i="4"/>
  <c r="M21" i="4"/>
  <c r="J21" i="4" s="1"/>
  <c r="M20" i="4"/>
  <c r="J20" i="4" s="1"/>
  <c r="M19" i="4"/>
  <c r="J19" i="4" s="1"/>
  <c r="M18" i="4"/>
  <c r="J18" i="4" s="1"/>
  <c r="M14" i="4"/>
  <c r="J14" i="4" s="1"/>
  <c r="M13" i="4"/>
  <c r="J13" i="4" s="1"/>
  <c r="M12" i="4"/>
  <c r="M11" i="4"/>
  <c r="J11" i="4" s="1"/>
  <c r="H17" i="4" l="1"/>
  <c r="I17" i="4" s="1"/>
  <c r="H16" i="4"/>
  <c r="I16" i="4" s="1"/>
  <c r="M15" i="4"/>
  <c r="J15" i="4" s="1"/>
  <c r="M24" i="4"/>
  <c r="J24" i="4" s="1"/>
  <c r="J25" i="4"/>
  <c r="J26" i="4"/>
  <c r="I10" i="4"/>
  <c r="J12" i="4"/>
  <c r="J38" i="4" l="1"/>
  <c r="L8" i="4" s="1"/>
  <c r="L12" i="4" s="1"/>
  <c r="N12" i="4" s="1"/>
  <c r="I39" i="4"/>
  <c r="K8" i="4" l="1"/>
  <c r="K22" i="4" s="1"/>
  <c r="L23" i="4"/>
  <c r="N23" i="4" s="1"/>
  <c r="L31" i="4"/>
  <c r="N31" i="4" s="1"/>
  <c r="L17" i="4"/>
  <c r="N17" i="4" s="1"/>
  <c r="L22" i="4"/>
  <c r="N22" i="4" s="1"/>
  <c r="L29" i="4"/>
  <c r="N29" i="4" s="1"/>
  <c r="L15" i="4"/>
  <c r="N15" i="4" s="1"/>
  <c r="L27" i="4"/>
  <c r="N27" i="4" s="1"/>
  <c r="L13" i="4"/>
  <c r="N13" i="4" s="1"/>
  <c r="L26" i="4"/>
  <c r="N26" i="4" s="1"/>
  <c r="L33" i="4"/>
  <c r="N33" i="4" s="1"/>
  <c r="L28" i="4"/>
  <c r="N28" i="4" s="1"/>
  <c r="L24" i="4"/>
  <c r="N24" i="4" s="1"/>
  <c r="L11" i="4"/>
  <c r="N11" i="4" s="1"/>
  <c r="L34" i="4"/>
  <c r="N34" i="4" s="1"/>
  <c r="L18" i="4"/>
  <c r="N18" i="4" s="1"/>
  <c r="L19" i="4"/>
  <c r="N19" i="4" s="1"/>
  <c r="L25" i="4"/>
  <c r="N25" i="4" s="1"/>
  <c r="L36" i="4"/>
  <c r="N36" i="4" s="1"/>
  <c r="L20" i="4"/>
  <c r="N20" i="4" s="1"/>
  <c r="L35" i="4"/>
  <c r="N35" i="4" s="1"/>
  <c r="L30" i="4"/>
  <c r="N30" i="4" s="1"/>
  <c r="L14" i="4"/>
  <c r="N14" i="4" s="1"/>
  <c r="L10" i="4"/>
  <c r="N10" i="4" s="1"/>
  <c r="L21" i="4"/>
  <c r="N21" i="4" s="1"/>
  <c r="L32" i="4"/>
  <c r="N32" i="4" s="1"/>
  <c r="L16" i="4"/>
  <c r="N16" i="4" s="1"/>
  <c r="K10" i="4" l="1"/>
  <c r="K16" i="4"/>
  <c r="K18" i="4"/>
  <c r="K21" i="4"/>
  <c r="K14" i="4"/>
  <c r="K13" i="4"/>
  <c r="K24" i="4"/>
  <c r="K25" i="4"/>
  <c r="K23" i="4"/>
  <c r="K17" i="4"/>
  <c r="K12" i="4"/>
  <c r="K19" i="4"/>
  <c r="K26" i="4"/>
  <c r="K20" i="4"/>
  <c r="K11" i="4"/>
  <c r="K15" i="4"/>
  <c r="N38" i="4"/>
  <c r="L38" i="4"/>
  <c r="L39" i="4" s="1"/>
  <c r="I17" i="1"/>
  <c r="I18" i="1"/>
  <c r="I19" i="1"/>
  <c r="I20" i="1"/>
  <c r="I21" i="1"/>
  <c r="I22" i="1"/>
  <c r="I23" i="1"/>
  <c r="I24" i="1"/>
  <c r="I25" i="1"/>
  <c r="I26" i="1"/>
  <c r="I27" i="1"/>
  <c r="I28" i="1"/>
  <c r="I29" i="1"/>
  <c r="I4" i="1"/>
  <c r="I5" i="1"/>
  <c r="I6" i="1"/>
  <c r="I7" i="1"/>
  <c r="I8" i="1"/>
  <c r="I9" i="1"/>
  <c r="I10" i="1"/>
  <c r="I11" i="1"/>
  <c r="I12" i="1"/>
  <c r="I13" i="1"/>
  <c r="I14" i="1"/>
  <c r="I15" i="1"/>
  <c r="I16" i="1"/>
  <c r="J31" i="1"/>
  <c r="D31" i="1"/>
  <c r="G29" i="1"/>
  <c r="G28" i="1"/>
  <c r="G27" i="1"/>
  <c r="G26" i="1"/>
  <c r="G25" i="1"/>
  <c r="G24" i="1"/>
  <c r="G23" i="1"/>
  <c r="G22" i="1"/>
  <c r="G21" i="1"/>
  <c r="G20" i="1"/>
  <c r="G19" i="1"/>
  <c r="G18" i="1"/>
  <c r="G17" i="1"/>
  <c r="G16" i="1"/>
  <c r="G15" i="1"/>
  <c r="G14" i="1"/>
  <c r="G13" i="1"/>
  <c r="F12" i="1"/>
  <c r="G12" i="1" s="1"/>
  <c r="G11" i="1"/>
  <c r="G10" i="1"/>
  <c r="G9" i="1"/>
  <c r="G8" i="1"/>
  <c r="G7" i="1"/>
  <c r="G6" i="1"/>
  <c r="G5" i="1"/>
  <c r="G4" i="1"/>
  <c r="G3" i="1"/>
  <c r="H6" i="1" l="1"/>
  <c r="L6" i="1" s="1"/>
  <c r="O13" i="4" s="1"/>
  <c r="H12" i="1"/>
  <c r="L12" i="1" s="1"/>
  <c r="O19" i="4" s="1"/>
  <c r="H24" i="1"/>
  <c r="L24" i="1" s="1"/>
  <c r="O31" i="4" s="1"/>
  <c r="H7" i="1"/>
  <c r="L7" i="1" s="1"/>
  <c r="O14" i="4" s="1"/>
  <c r="H13" i="1"/>
  <c r="L13" i="1" s="1"/>
  <c r="O20" i="4" s="1"/>
  <c r="H17" i="1"/>
  <c r="L17" i="1" s="1"/>
  <c r="O24" i="4" s="1"/>
  <c r="H21" i="1"/>
  <c r="L21" i="1" s="1"/>
  <c r="O28" i="4" s="1"/>
  <c r="H25" i="1"/>
  <c r="L25" i="1" s="1"/>
  <c r="O32" i="4" s="1"/>
  <c r="H4" i="1"/>
  <c r="L4" i="1" s="1"/>
  <c r="O11" i="4" s="1"/>
  <c r="H8" i="1"/>
  <c r="L8" i="1" s="1"/>
  <c r="O15" i="4" s="1"/>
  <c r="H11" i="1"/>
  <c r="L11" i="1" s="1"/>
  <c r="O18" i="4" s="1"/>
  <c r="H14" i="1"/>
  <c r="L14" i="1" s="1"/>
  <c r="O21" i="4" s="1"/>
  <c r="H18" i="1"/>
  <c r="L18" i="1" s="1"/>
  <c r="O25" i="4" s="1"/>
  <c r="H26" i="1"/>
  <c r="L26" i="1" s="1"/>
  <c r="O33" i="4" s="1"/>
  <c r="H9" i="1"/>
  <c r="L9" i="1" s="1"/>
  <c r="O16" i="4" s="1"/>
  <c r="H16" i="1"/>
  <c r="L16" i="1" s="1"/>
  <c r="O23" i="4" s="1"/>
  <c r="H28" i="1"/>
  <c r="L28" i="1" s="1"/>
  <c r="O35" i="4" s="1"/>
  <c r="H3" i="1"/>
  <c r="L3" i="1" s="1"/>
  <c r="L10" i="1"/>
  <c r="O17" i="4" s="1"/>
  <c r="H29" i="1"/>
  <c r="L29" i="1" s="1"/>
  <c r="O36" i="4" s="1"/>
  <c r="H5" i="1"/>
  <c r="L5" i="1" s="1"/>
  <c r="O12" i="4" s="1"/>
  <c r="H15" i="1"/>
  <c r="L15" i="1" s="1"/>
  <c r="O22" i="4" s="1"/>
  <c r="H19" i="1"/>
  <c r="L19" i="1" s="1"/>
  <c r="O26" i="4" s="1"/>
  <c r="H23" i="1"/>
  <c r="L23" i="1" s="1"/>
  <c r="O30" i="4" s="1"/>
  <c r="H27" i="1"/>
  <c r="L27" i="1" s="1"/>
  <c r="O34" i="4" s="1"/>
  <c r="H22" i="1"/>
  <c r="L22" i="1" s="1"/>
  <c r="O29" i="4" s="1"/>
  <c r="L20" i="1"/>
  <c r="O27" i="4" s="1"/>
  <c r="I31" i="1"/>
  <c r="F31" i="1"/>
  <c r="C41" i="3"/>
  <c r="C61" i="3" s="1"/>
  <c r="L31" i="1" l="1"/>
  <c r="C52" i="3"/>
  <c r="O10" i="4" l="1"/>
  <c r="C64" i="3"/>
  <c r="C43" i="3" l="1"/>
</calcChain>
</file>

<file path=xl/sharedStrings.xml><?xml version="1.0" encoding="utf-8"?>
<sst xmlns="http://schemas.openxmlformats.org/spreadsheetml/2006/main" count="193" uniqueCount="125">
  <si>
    <t>TOTAL</t>
  </si>
  <si>
    <t>%</t>
  </si>
  <si>
    <t>consorciosrc13@gmail.com</t>
  </si>
  <si>
    <t>Tel. 11 5320-2676</t>
  </si>
  <si>
    <t>ABONOS y SERVICIOS</t>
  </si>
  <si>
    <t>GASTOS ORDINARIOS</t>
  </si>
  <si>
    <t>TOTAL GASTOS ORDINARIOS (A)</t>
  </si>
  <si>
    <t>TOTAL GENERAL DE GASTOS (A) + (B)</t>
  </si>
  <si>
    <t>Saldo al cierre $ (pesos)</t>
  </si>
  <si>
    <t>CANCIANI, Carolina</t>
  </si>
  <si>
    <t>AYSA</t>
  </si>
  <si>
    <t>RC Adm Cons CANCIANI, Carolina</t>
  </si>
  <si>
    <t>LIMPIEZA / MANTENIMIENTO / GASTOS GENERALES</t>
  </si>
  <si>
    <t>EDESUR  0800-333-3787</t>
  </si>
  <si>
    <t>AySA  0800-321-2482</t>
  </si>
  <si>
    <t>TOTAL GASTOS EXTRAORDINARIOS (B)</t>
  </si>
  <si>
    <t>Metrogas 0800-333-6427</t>
  </si>
  <si>
    <t>GASTOS EXTRAORDINARIOS</t>
  </si>
  <si>
    <t xml:space="preserve">Teléfonos útiles </t>
  </si>
  <si>
    <t>Inquilinos</t>
  </si>
  <si>
    <t>CAJA EXTRAORDINARIA</t>
  </si>
  <si>
    <t>MP 1148</t>
  </si>
  <si>
    <t>Honorarios administracion</t>
  </si>
  <si>
    <t>Egreso extraordinario</t>
  </si>
  <si>
    <t>EDIFICIO ROSALES 624</t>
  </si>
  <si>
    <t>Ascensores Lema</t>
  </si>
  <si>
    <t>Propietarios</t>
  </si>
  <si>
    <t>SALDO ANTERIOR</t>
  </si>
  <si>
    <t>SALDO ABONADO</t>
  </si>
  <si>
    <t>SALDO</t>
  </si>
  <si>
    <t>A PAGAR</t>
  </si>
  <si>
    <t>Ferrea Nestor</t>
  </si>
  <si>
    <t>1ro. "A"</t>
  </si>
  <si>
    <t>Gnecchi Nicolas</t>
  </si>
  <si>
    <t>1ro. "B"</t>
  </si>
  <si>
    <t>Triñanes Gaston</t>
  </si>
  <si>
    <t>2do. "A"</t>
  </si>
  <si>
    <t>Nuñez Eva</t>
  </si>
  <si>
    <t>2do. "B"</t>
  </si>
  <si>
    <t>3ro. "A"</t>
  </si>
  <si>
    <t>Grecco Pedro</t>
  </si>
  <si>
    <t>3ro. "B"</t>
  </si>
  <si>
    <t>Mteljan Barbara</t>
  </si>
  <si>
    <t>4to. "A"</t>
  </si>
  <si>
    <t>Carnevalli</t>
  </si>
  <si>
    <t>4to. "B"</t>
  </si>
  <si>
    <t>5to. "A"</t>
  </si>
  <si>
    <t>Strangio Federico</t>
  </si>
  <si>
    <t>5to. "B"</t>
  </si>
  <si>
    <t>Senderowicz Rosalia</t>
  </si>
  <si>
    <t>Alejo</t>
  </si>
  <si>
    <t>6to. "A"</t>
  </si>
  <si>
    <t>6to. "B"</t>
  </si>
  <si>
    <t>Alonso Graciela</t>
  </si>
  <si>
    <t xml:space="preserve">Facundo </t>
  </si>
  <si>
    <t>7mo. "A"</t>
  </si>
  <si>
    <t>Perez Rodriguez</t>
  </si>
  <si>
    <t>Mariel</t>
  </si>
  <si>
    <t>7mo. "B"</t>
  </si>
  <si>
    <t>Mourelos Pablo</t>
  </si>
  <si>
    <t>8vo. "A"</t>
  </si>
  <si>
    <t>Calabria Carlos/Giarrizzo Silvia</t>
  </si>
  <si>
    <t>8vo. "B"</t>
  </si>
  <si>
    <t>Ariel</t>
  </si>
  <si>
    <t>9no. "A"</t>
  </si>
  <si>
    <t xml:space="preserve">COCHERA 1 </t>
  </si>
  <si>
    <t xml:space="preserve">COCHERA 2 </t>
  </si>
  <si>
    <t xml:space="preserve">COCHERA 3 </t>
  </si>
  <si>
    <t xml:space="preserve">COCHERA 4 </t>
  </si>
  <si>
    <t xml:space="preserve">COCHERA 5 </t>
  </si>
  <si>
    <t xml:space="preserve">COCHERA 6 </t>
  </si>
  <si>
    <t xml:space="preserve">COCHERA 7 </t>
  </si>
  <si>
    <t>COCHERA 8</t>
  </si>
  <si>
    <t>COCHERA 9</t>
  </si>
  <si>
    <t>COCHERA 10</t>
  </si>
  <si>
    <t>TOTAL  EXPENSAS</t>
  </si>
  <si>
    <t xml:space="preserve"> </t>
  </si>
  <si>
    <t xml:space="preserve">EDESUR </t>
  </si>
  <si>
    <t>U.F.</t>
  </si>
  <si>
    <t>PISO - DEPTO</t>
  </si>
  <si>
    <t>PROPIETARIOS</t>
  </si>
  <si>
    <t>CONSUMO ANT.</t>
  </si>
  <si>
    <t>CONSUMO ACTUAL</t>
  </si>
  <si>
    <t>INTERES POR MORA 7%</t>
  </si>
  <si>
    <t>PARTES COMUNES</t>
  </si>
  <si>
    <t>KWH</t>
  </si>
  <si>
    <t>EDESUR FINAL</t>
  </si>
  <si>
    <t>4 Y 5</t>
  </si>
  <si>
    <t>NOTA:</t>
  </si>
  <si>
    <t>UNIDAD  FUNCIONAL</t>
  </si>
  <si>
    <t>Gabriel</t>
  </si>
  <si>
    <t xml:space="preserve">PREVISION ORDINARIA </t>
  </si>
  <si>
    <t>PUNITORIOS 4%</t>
  </si>
  <si>
    <t>Se abona hasta el</t>
  </si>
  <si>
    <t>Leandro</t>
  </si>
  <si>
    <t xml:space="preserve">Leonor </t>
  </si>
  <si>
    <t>INGRESOS CORRESPONDIENTES AL PAGO DE EXPENSAS</t>
  </si>
  <si>
    <t>Sueldo personal de limpieza y maestranza</t>
  </si>
  <si>
    <t>Seguro de vida Sra encargada</t>
  </si>
  <si>
    <t>Christian / Vanina</t>
  </si>
  <si>
    <t>CAJA ANTERIOR</t>
  </si>
  <si>
    <t>Brian</t>
  </si>
  <si>
    <t>Gastos extraordinarios:</t>
  </si>
  <si>
    <t>Expensas ordinarias:</t>
  </si>
  <si>
    <t>ORDINARIAS</t>
  </si>
  <si>
    <t>Seguro de consorcio obligatorio -  federacion patronal - poliza nro. 2027630</t>
  </si>
  <si>
    <t>Anabella</t>
  </si>
  <si>
    <t>Articulos de limpieza</t>
  </si>
  <si>
    <t xml:space="preserve">CAJA NO REAL, YA QUE DE ESTE FONDO SE PAGA EDESUR DE LAS UNIDADES
</t>
  </si>
  <si>
    <t>ARBA</t>
  </si>
  <si>
    <t>ATENCIÓN: Al momento de abonar en efectivo las expensas (dado que no se dispone de cuenta bancaria), deberán cancelar el monto total correspondiente, que incluye tanto las expensas como el consumo de Edesur de cada unidad funcional.
Les recordamos que el pago debe realizarse con dinero justo.</t>
  </si>
  <si>
    <t>PREVISION EXTRAORDINARIA</t>
  </si>
  <si>
    <t>LAS LINEAS GRISES CORRESPONDEN A PLANES DE PAGO VIGENTES -  RESTA ABONAR 6 CUOTAS DE $107.386,20 + LAS EXPENSAS AL DIA - PARTE DE LA DEUDA CANCELA EDESUR Y EXPENSAS CON TASA DE INTERES MENSUAL</t>
  </si>
  <si>
    <t>Fumigacion</t>
  </si>
  <si>
    <t>ADELANTO PAGO 2 - TERRAZA</t>
  </si>
  <si>
    <t>EXTRAORD.</t>
  </si>
  <si>
    <t>ARBA:</t>
  </si>
  <si>
    <t>Subidos en 0CT 2025</t>
  </si>
  <si>
    <t>TSG MES 9</t>
  </si>
  <si>
    <t>ARBA revaluo 2024 - Ultimo 2024, solo resta 2025</t>
  </si>
  <si>
    <t>CUOTA PLAN DE PAGOS (3/6)</t>
  </si>
  <si>
    <t>PUNITORIOS MAL COBRADOS</t>
  </si>
  <si>
    <t>Vto. 14/11</t>
  </si>
  <si>
    <t>LIQUIDACIÓN EXPENSAS OCTUBRE 2025</t>
  </si>
  <si>
    <t>EGRESOS DEL MES DE OCTUBRE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</si>
</sst>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0.0000"/>
    <numFmt numFmtId="168" formatCode="&quot;$&quot;\ #,##0.00"/>
    <numFmt numFmtId="169" formatCode="0.0"/>
    <numFmt numFmtId="170" formatCode="_-&quot;$&quot;\ * #,##0_-;\-&quot;$&quot;\ * #,##0_-;_-&quot;$&quot;\ * &quot;-&quot;??_-;_-@"/>
    <numFmt numFmtId="171" formatCode="_-&quot;$&quot;\ * #,##0.00_-;\-&quot;$&quot;\ * #,##0.00_-;_-&quot;$&quot;\ * &quot;-&quot;??_-;_-@"/>
    <numFmt numFmtId="172" formatCode="_-* #,##0_-;\-* #,##0_-;_-* &quot;-&quot;??_-;_-@_-"/>
    <numFmt numFmtId="173" formatCode="_-* #,##0.000000_-;\-* #,##0.000000_-;_-* &quot;-&quot;??_-;_-@_-"/>
    <numFmt numFmtId="174" formatCode="_-[$$-2C0A]\ * #,##0.00_-;\-[$$-2C0A]\ * #,##0.00_-;_-[$$-2C0A]\ * &quot;-&quot;??_-;_-@_-"/>
  </numFmts>
  <fonts count="3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b/>
      <sz val="12"/>
      <color theme="0"/>
      <name val="Calibri"/>
      <family val="2"/>
      <scheme val="minor"/>
    </font>
    <font>
      <sz val="9"/>
      <name val="Calibri"/>
      <family val="2"/>
      <scheme val="minor"/>
    </font>
    <font>
      <sz val="11"/>
      <color rgb="FFFF0000"/>
      <name val="Calibri"/>
      <family val="2"/>
      <scheme val="minor"/>
    </font>
    <font>
      <sz val="10"/>
      <color rgb="FFFF0000"/>
      <name val="Calibri"/>
      <family val="2"/>
      <scheme val="minor"/>
    </font>
    <font>
      <b/>
      <sz val="11"/>
      <name val="Calibri"/>
      <family val="2"/>
    </font>
    <font>
      <sz val="10"/>
      <name val="Calibri"/>
      <family val="2"/>
    </font>
    <font>
      <sz val="8"/>
      <name val="Calibri"/>
      <family val="2"/>
    </font>
    <font>
      <sz val="9"/>
      <name val="Calibri"/>
      <family val="2"/>
    </font>
    <font>
      <sz val="10"/>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9"/>
      <color theme="1"/>
      <name val="Calibri"/>
      <family val="2"/>
    </font>
    <font>
      <sz val="9"/>
      <color theme="1"/>
      <name val="Calibri"/>
      <family val="2"/>
      <scheme val="minor"/>
    </font>
    <font>
      <b/>
      <sz val="9"/>
      <color theme="1"/>
      <name val="Calibri"/>
      <family val="2"/>
    </font>
    <font>
      <sz val="8"/>
      <color theme="1"/>
      <name val="Calibri"/>
      <family val="2"/>
    </font>
    <font>
      <sz val="11"/>
      <color theme="0"/>
      <name val="Calibri"/>
      <family val="2"/>
      <scheme val="minor"/>
    </font>
    <font>
      <sz val="8"/>
      <name val="Calibri"/>
      <family val="2"/>
      <scheme val="minor"/>
    </font>
    <font>
      <b/>
      <sz val="12"/>
      <color theme="1"/>
      <name val="Calibri"/>
      <family val="2"/>
      <scheme val="minor"/>
    </font>
    <font>
      <b/>
      <sz val="10"/>
      <name val="Calibri"/>
      <family val="2"/>
    </font>
    <font>
      <sz val="9"/>
      <color rgb="FFFF0000"/>
      <name val="Calibri"/>
      <family val="2"/>
    </font>
  </fonts>
  <fills count="14">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CC2E5"/>
        <bgColor rgb="FF9CC2E5"/>
      </patternFill>
    </fill>
    <fill>
      <patternFill patternType="solid">
        <fgColor theme="0"/>
        <bgColor rgb="FF9CC2E5"/>
      </patternFill>
    </fill>
    <fill>
      <patternFill patternType="solid">
        <fgColor rgb="FFF4B083"/>
        <bgColor rgb="FFF4B083"/>
      </patternFill>
    </fill>
    <fill>
      <patternFill patternType="solid">
        <fgColor theme="3" tint="0.59999389629810485"/>
        <bgColor indexed="64"/>
      </patternFill>
    </fill>
    <fill>
      <patternFill patternType="solid">
        <fgColor theme="0" tint="-0.249977111117893"/>
        <bgColor indexed="64"/>
      </patternFill>
    </fill>
    <fill>
      <patternFill patternType="solid">
        <fgColor rgb="FF09FF09"/>
        <bgColor indexed="64"/>
      </patternFill>
    </fill>
    <fill>
      <patternFill patternType="solid">
        <fgColor theme="9"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0" fontId="3" fillId="0" borderId="0"/>
    <xf numFmtId="43" fontId="3" fillId="0" borderId="0" applyFont="0" applyFill="0" applyBorder="0" applyAlignment="0" applyProtection="0"/>
  </cellStyleXfs>
  <cellXfs count="245">
    <xf numFmtId="0" fontId="0" fillId="0" borderId="0" xfId="0"/>
    <xf numFmtId="0" fontId="0" fillId="0" borderId="0" xfId="0" applyAlignment="1">
      <alignment horizontal="center"/>
    </xf>
    <xf numFmtId="0" fontId="0" fillId="0" borderId="2" xfId="0" applyBorder="1"/>
    <xf numFmtId="0" fontId="2" fillId="0" borderId="0" xfId="1"/>
    <xf numFmtId="0" fontId="1" fillId="0" borderId="0" xfId="0" applyFont="1"/>
    <xf numFmtId="164" fontId="0" fillId="0" borderId="0" xfId="0" applyNumberFormat="1"/>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3" borderId="0" xfId="0" applyFont="1" applyFill="1"/>
    <xf numFmtId="164" fontId="8" fillId="3" borderId="0" xfId="2" applyFont="1" applyFill="1"/>
    <xf numFmtId="0" fontId="2" fillId="0" borderId="2" xfId="1" applyBorder="1"/>
    <xf numFmtId="0" fontId="1" fillId="4" borderId="0" xfId="0" applyFont="1" applyFill="1"/>
    <xf numFmtId="0" fontId="1" fillId="4" borderId="0" xfId="0" applyFont="1" applyFill="1" applyAlignment="1">
      <alignment horizontal="center"/>
    </xf>
    <xf numFmtId="0" fontId="8" fillId="3" borderId="6" xfId="0" applyFont="1" applyFill="1" applyBorder="1"/>
    <xf numFmtId="164" fontId="8" fillId="3" borderId="7" xfId="2" applyFont="1" applyFill="1" applyBorder="1"/>
    <xf numFmtId="4" fontId="1" fillId="0" borderId="0" xfId="0" applyNumberFormat="1" applyFont="1"/>
    <xf numFmtId="166" fontId="0" fillId="0" borderId="0" xfId="0" applyNumberFormat="1"/>
    <xf numFmtId="165" fontId="0" fillId="0" borderId="0" xfId="0" applyNumberFormat="1"/>
    <xf numFmtId="164" fontId="9" fillId="2" borderId="1" xfId="2" applyFont="1" applyFill="1" applyBorder="1"/>
    <xf numFmtId="0" fontId="10" fillId="0" borderId="0" xfId="0" applyFont="1"/>
    <xf numFmtId="4" fontId="10" fillId="0" borderId="0" xfId="0" applyNumberFormat="1" applyFont="1"/>
    <xf numFmtId="0" fontId="12" fillId="3" borderId="1" xfId="0" applyFont="1" applyFill="1" applyBorder="1"/>
    <xf numFmtId="0" fontId="6" fillId="0" borderId="1" xfId="0" applyFont="1" applyBorder="1"/>
    <xf numFmtId="0" fontId="0" fillId="0" borderId="1" xfId="0" applyBorder="1"/>
    <xf numFmtId="164" fontId="6" fillId="0" borderId="1" xfId="2" applyFont="1" applyBorder="1"/>
    <xf numFmtId="0" fontId="8" fillId="3" borderId="1" xfId="0" applyFont="1" applyFill="1" applyBorder="1"/>
    <xf numFmtId="164" fontId="14" fillId="0" borderId="1" xfId="2" applyFont="1" applyBorder="1"/>
    <xf numFmtId="164" fontId="15" fillId="0" borderId="1" xfId="2" applyFont="1" applyBorder="1"/>
    <xf numFmtId="4" fontId="10" fillId="5" borderId="1" xfId="0" applyNumberFormat="1" applyFont="1" applyFill="1" applyBorder="1"/>
    <xf numFmtId="4" fontId="10" fillId="0" borderId="1" xfId="0" applyNumberFormat="1" applyFont="1" applyBorder="1"/>
    <xf numFmtId="0" fontId="4" fillId="0" borderId="1" xfId="0" applyFont="1" applyBorder="1"/>
    <xf numFmtId="0" fontId="0" fillId="0" borderId="1" xfId="0" applyBorder="1" applyAlignment="1">
      <alignment horizontal="center"/>
    </xf>
    <xf numFmtId="0" fontId="13" fillId="0" borderId="1" xfId="0" applyFont="1" applyBorder="1"/>
    <xf numFmtId="16" fontId="10" fillId="0" borderId="1" xfId="0" applyNumberFormat="1"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3" borderId="1" xfId="0" applyNumberFormat="1" applyFont="1" applyFill="1" applyBorder="1"/>
    <xf numFmtId="44" fontId="0" fillId="0" borderId="0" xfId="0" applyNumberFormat="1"/>
    <xf numFmtId="0" fontId="14" fillId="0" borderId="0" xfId="0" applyFont="1"/>
    <xf numFmtId="0" fontId="16" fillId="0" borderId="1" xfId="0" applyFont="1" applyBorder="1" applyAlignment="1">
      <alignment horizontal="center" vertical="center"/>
    </xf>
    <xf numFmtId="2" fontId="17" fillId="0" borderId="1" xfId="0" applyNumberFormat="1" applyFont="1" applyBorder="1" applyAlignment="1">
      <alignment horizontal="center" vertical="center"/>
    </xf>
    <xf numFmtId="167"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8" fontId="18" fillId="0" borderId="1" xfId="0" applyNumberFormat="1" applyFont="1" applyBorder="1" applyAlignment="1">
      <alignment horizontal="center" vertical="center" wrapText="1"/>
    </xf>
    <xf numFmtId="168" fontId="18" fillId="0" borderId="1" xfId="0" applyNumberFormat="1" applyFont="1" applyBorder="1" applyAlignment="1">
      <alignment horizontal="center" vertical="center"/>
    </xf>
    <xf numFmtId="0" fontId="19" fillId="0" borderId="4" xfId="0" applyFont="1" applyBorder="1" applyAlignment="1">
      <alignment horizontal="left"/>
    </xf>
    <xf numFmtId="0" fontId="19" fillId="0" borderId="4" xfId="0" applyFont="1" applyBorder="1" applyAlignment="1">
      <alignment horizontal="center"/>
    </xf>
    <xf numFmtId="0" fontId="19" fillId="0" borderId="4" xfId="0" applyFont="1" applyBorder="1"/>
    <xf numFmtId="2" fontId="19" fillId="0" borderId="4" xfId="0" applyNumberFormat="1" applyFont="1" applyBorder="1"/>
    <xf numFmtId="164" fontId="19" fillId="0" borderId="4" xfId="0" applyNumberFormat="1" applyFont="1" applyBorder="1"/>
    <xf numFmtId="164" fontId="19" fillId="0" borderId="1" xfId="0" applyNumberFormat="1" applyFont="1" applyBorder="1"/>
    <xf numFmtId="0" fontId="19" fillId="0" borderId="1" xfId="0" applyFont="1" applyBorder="1" applyAlignment="1">
      <alignment horizontal="left"/>
    </xf>
    <xf numFmtId="0" fontId="19" fillId="0" borderId="1" xfId="0" applyFont="1" applyBorder="1" applyAlignment="1">
      <alignment horizontal="centerContinuous"/>
    </xf>
    <xf numFmtId="0" fontId="19" fillId="0" borderId="1" xfId="0" applyFont="1" applyBorder="1"/>
    <xf numFmtId="2" fontId="19" fillId="0" borderId="1" xfId="0" applyNumberFormat="1" applyFont="1" applyBorder="1"/>
    <xf numFmtId="0" fontId="19" fillId="5" borderId="1" xfId="0" applyFont="1" applyFill="1" applyBorder="1" applyAlignment="1">
      <alignment horizontal="left"/>
    </xf>
    <xf numFmtId="0" fontId="19" fillId="5" borderId="1" xfId="0" applyFont="1" applyFill="1" applyBorder="1"/>
    <xf numFmtId="164" fontId="19" fillId="5" borderId="4" xfId="0" applyNumberFormat="1" applyFont="1" applyFill="1" applyBorder="1"/>
    <xf numFmtId="0" fontId="19" fillId="0" borderId="5" xfId="0" applyFont="1" applyBorder="1" applyAlignment="1">
      <alignment horizontal="centerContinuous"/>
    </xf>
    <xf numFmtId="0" fontId="19" fillId="0" borderId="5" xfId="0" applyFont="1" applyBorder="1" applyAlignment="1">
      <alignment horizontal="left"/>
    </xf>
    <xf numFmtId="0" fontId="19" fillId="0" borderId="6" xfId="0" applyFont="1" applyBorder="1" applyAlignment="1">
      <alignment horizontal="centerContinuous"/>
    </xf>
    <xf numFmtId="0" fontId="19" fillId="0" borderId="6" xfId="0" applyFont="1" applyBorder="1"/>
    <xf numFmtId="167" fontId="19" fillId="0" borderId="6" xfId="0" applyNumberFormat="1" applyFont="1" applyBorder="1" applyAlignment="1">
      <alignment horizontal="center"/>
    </xf>
    <xf numFmtId="164" fontId="19" fillId="0" borderId="6" xfId="0" applyNumberFormat="1" applyFont="1" applyBorder="1"/>
    <xf numFmtId="164" fontId="19" fillId="0" borderId="0" xfId="0" applyNumberFormat="1" applyFont="1"/>
    <xf numFmtId="169" fontId="18" fillId="0" borderId="5" xfId="0" applyNumberFormat="1" applyFont="1" applyBorder="1"/>
    <xf numFmtId="169" fontId="18" fillId="0" borderId="6" xfId="0" applyNumberFormat="1" applyFont="1" applyBorder="1"/>
    <xf numFmtId="169" fontId="17" fillId="0" borderId="6" xfId="0" applyNumberFormat="1" applyFont="1" applyBorder="1"/>
    <xf numFmtId="164" fontId="17" fillId="0" borderId="6" xfId="2" applyFont="1" applyFill="1" applyBorder="1" applyAlignment="1"/>
    <xf numFmtId="0" fontId="21" fillId="8" borderId="0" xfId="0" applyFont="1" applyFill="1" applyAlignment="1">
      <alignment horizontal="center" vertical="center" wrapText="1"/>
    </xf>
    <xf numFmtId="0" fontId="23" fillId="0" borderId="11" xfId="0" applyFont="1" applyBorder="1"/>
    <xf numFmtId="0" fontId="23" fillId="0" borderId="0" xfId="0" applyFont="1"/>
    <xf numFmtId="170" fontId="23" fillId="0" borderId="0" xfId="0" applyNumberFormat="1" applyFont="1"/>
    <xf numFmtId="0" fontId="24" fillId="0" borderId="11" xfId="0" applyFont="1" applyBorder="1"/>
    <xf numFmtId="0" fontId="24" fillId="0" borderId="12" xfId="0" applyFont="1" applyBorder="1"/>
    <xf numFmtId="0" fontId="23" fillId="0" borderId="13" xfId="0" applyFont="1" applyBorder="1"/>
    <xf numFmtId="170" fontId="23" fillId="0" borderId="13" xfId="0" applyNumberFormat="1" applyFont="1" applyBorder="1"/>
    <xf numFmtId="0" fontId="23" fillId="0" borderId="14" xfId="0" applyFont="1" applyBorder="1"/>
    <xf numFmtId="171" fontId="16" fillId="0" borderId="13" xfId="0" applyNumberFormat="1" applyFont="1" applyBorder="1"/>
    <xf numFmtId="44" fontId="23" fillId="0" borderId="13" xfId="0" applyNumberFormat="1" applyFont="1" applyBorder="1"/>
    <xf numFmtId="0" fontId="24" fillId="7" borderId="15" xfId="0" applyFont="1" applyFill="1" applyBorder="1" applyAlignment="1">
      <alignment horizontal="center" vertical="center"/>
    </xf>
    <xf numFmtId="0" fontId="3" fillId="5" borderId="4" xfId="3" applyFill="1" applyBorder="1" applyAlignment="1">
      <alignment horizontal="center"/>
    </xf>
    <xf numFmtId="0" fontId="3" fillId="5" borderId="1" xfId="3" applyFill="1" applyBorder="1" applyAlignment="1">
      <alignment horizontal="center"/>
    </xf>
    <xf numFmtId="0" fontId="23" fillId="0" borderId="15" xfId="0" applyFont="1" applyBorder="1" applyAlignment="1">
      <alignment horizontal="center"/>
    </xf>
    <xf numFmtId="0" fontId="23" fillId="0" borderId="8" xfId="0" applyFont="1" applyBorder="1"/>
    <xf numFmtId="0" fontId="23" fillId="0" borderId="9" xfId="0" applyFont="1" applyBorder="1"/>
    <xf numFmtId="170" fontId="23" fillId="0" borderId="9" xfId="0" applyNumberFormat="1" applyFont="1" applyBorder="1"/>
    <xf numFmtId="171" fontId="23" fillId="0" borderId="9" xfId="0" applyNumberFormat="1" applyFont="1" applyBorder="1"/>
    <xf numFmtId="0" fontId="24" fillId="9" borderId="0" xfId="0" applyFont="1" applyFill="1" applyAlignment="1">
      <alignment horizontal="left" vertical="center" wrapText="1"/>
    </xf>
    <xf numFmtId="171" fontId="0" fillId="0" borderId="0" xfId="0" applyNumberFormat="1"/>
    <xf numFmtId="170" fontId="0" fillId="0" borderId="0" xfId="0" applyNumberFormat="1"/>
    <xf numFmtId="0" fontId="23" fillId="0" borderId="15" xfId="0" applyFont="1" applyBorder="1" applyAlignment="1">
      <alignment horizontal="left"/>
    </xf>
    <xf numFmtId="0" fontId="23" fillId="6" borderId="15" xfId="0" applyFont="1" applyFill="1" applyBorder="1" applyAlignment="1">
      <alignment horizontal="left"/>
    </xf>
    <xf numFmtId="0" fontId="26" fillId="5" borderId="1" xfId="3" applyFont="1" applyFill="1" applyBorder="1"/>
    <xf numFmtId="43" fontId="26" fillId="5" borderId="1" xfId="4" applyFont="1" applyFill="1" applyBorder="1"/>
    <xf numFmtId="0" fontId="25" fillId="5" borderId="15" xfId="0" applyFont="1" applyFill="1" applyBorder="1"/>
    <xf numFmtId="0" fontId="19" fillId="5" borderId="15" xfId="0" applyFont="1" applyFill="1" applyBorder="1"/>
    <xf numFmtId="170" fontId="25" fillId="5" borderId="15" xfId="0" applyNumberFormat="1" applyFont="1" applyFill="1" applyBorder="1"/>
    <xf numFmtId="171" fontId="25" fillId="5" borderId="16" xfId="0" applyNumberFormat="1" applyFont="1" applyFill="1" applyBorder="1"/>
    <xf numFmtId="171" fontId="25" fillId="5" borderId="17" xfId="0" applyNumberFormat="1" applyFont="1" applyFill="1" applyBorder="1"/>
    <xf numFmtId="2" fontId="25" fillId="5" borderId="18" xfId="0" applyNumberFormat="1" applyFont="1" applyFill="1" applyBorder="1"/>
    <xf numFmtId="0" fontId="26" fillId="5" borderId="3" xfId="3" applyFont="1" applyFill="1" applyBorder="1" applyAlignment="1">
      <alignment vertical="center" wrapText="1"/>
    </xf>
    <xf numFmtId="0" fontId="25" fillId="0" borderId="15" xfId="0" applyFont="1" applyBorder="1"/>
    <xf numFmtId="170" fontId="25" fillId="0" borderId="15" xfId="0" applyNumberFormat="1" applyFont="1" applyBorder="1"/>
    <xf numFmtId="171" fontId="25" fillId="0" borderId="15" xfId="0" applyNumberFormat="1" applyFont="1" applyBorder="1"/>
    <xf numFmtId="171" fontId="25" fillId="0" borderId="16" xfId="0" applyNumberFormat="1" applyFont="1" applyBorder="1"/>
    <xf numFmtId="171" fontId="25" fillId="0" borderId="17" xfId="0" applyNumberFormat="1" applyFont="1" applyBorder="1"/>
    <xf numFmtId="170" fontId="25" fillId="0" borderId="18" xfId="0" applyNumberFormat="1" applyFont="1" applyBorder="1"/>
    <xf numFmtId="0" fontId="25" fillId="5" borderId="15" xfId="0" applyFont="1" applyFill="1" applyBorder="1" applyAlignment="1">
      <alignment horizontal="left" vertical="center"/>
    </xf>
    <xf numFmtId="171" fontId="25" fillId="5" borderId="1" xfId="0" applyNumberFormat="1" applyFont="1" applyFill="1" applyBorder="1"/>
    <xf numFmtId="171" fontId="25" fillId="0" borderId="1" xfId="0" applyNumberFormat="1" applyFont="1" applyBorder="1"/>
    <xf numFmtId="0" fontId="27" fillId="7" borderId="15" xfId="0" applyFont="1" applyFill="1" applyBorder="1" applyAlignment="1">
      <alignment horizontal="center" vertical="center" wrapText="1"/>
    </xf>
    <xf numFmtId="0" fontId="27" fillId="7" borderId="15" xfId="0" applyFont="1" applyFill="1" applyBorder="1" applyAlignment="1">
      <alignment horizontal="left" vertical="center" wrapText="1"/>
    </xf>
    <xf numFmtId="0" fontId="27" fillId="7" borderId="15" xfId="0" applyFont="1" applyFill="1" applyBorder="1" applyAlignment="1">
      <alignment horizontal="center" vertical="center"/>
    </xf>
    <xf numFmtId="170" fontId="27" fillId="7" borderId="15" xfId="0" applyNumberFormat="1" applyFont="1" applyFill="1" applyBorder="1" applyAlignment="1">
      <alignment horizontal="center" vertical="center" wrapText="1"/>
    </xf>
    <xf numFmtId="0" fontId="27" fillId="7" borderId="16"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7" borderId="17" xfId="0" applyFont="1" applyFill="1" applyBorder="1" applyAlignment="1">
      <alignment horizontal="center" vertical="center" wrapText="1"/>
    </xf>
    <xf numFmtId="0" fontId="27" fillId="7" borderId="18" xfId="0" applyFont="1" applyFill="1" applyBorder="1" applyAlignment="1">
      <alignment horizontal="center" vertical="center" wrapText="1"/>
    </xf>
    <xf numFmtId="171" fontId="23" fillId="0" borderId="0" xfId="0" applyNumberFormat="1" applyFont="1"/>
    <xf numFmtId="171" fontId="28" fillId="5" borderId="17" xfId="0" applyNumberFormat="1" applyFont="1" applyFill="1" applyBorder="1"/>
    <xf numFmtId="173" fontId="25" fillId="0" borderId="15" xfId="0" applyNumberFormat="1" applyFont="1" applyBorder="1"/>
    <xf numFmtId="44" fontId="20" fillId="5" borderId="1" xfId="2" applyNumberFormat="1" applyFont="1" applyFill="1" applyBorder="1"/>
    <xf numFmtId="0" fontId="25" fillId="0" borderId="15" xfId="0" applyFont="1" applyBorder="1" applyAlignment="1">
      <alignment vertical="center"/>
    </xf>
    <xf numFmtId="171" fontId="25" fillId="0" borderId="21" xfId="0" applyNumberFormat="1" applyFont="1" applyBorder="1"/>
    <xf numFmtId="171" fontId="25" fillId="0" borderId="23" xfId="0" applyNumberFormat="1" applyFont="1" applyBorder="1"/>
    <xf numFmtId="171" fontId="25" fillId="0" borderId="9" xfId="0" applyNumberFormat="1" applyFont="1" applyBorder="1"/>
    <xf numFmtId="172" fontId="23" fillId="0" borderId="9" xfId="0" applyNumberFormat="1" applyFont="1" applyBorder="1"/>
    <xf numFmtId="166" fontId="17" fillId="0" borderId="7" xfId="2" applyNumberFormat="1" applyFont="1" applyFill="1" applyBorder="1" applyAlignment="1"/>
    <xf numFmtId="166" fontId="19" fillId="0" borderId="7" xfId="2" applyNumberFormat="1" applyFont="1" applyFill="1" applyBorder="1" applyAlignment="1"/>
    <xf numFmtId="2" fontId="17" fillId="0" borderId="1" xfId="0" applyNumberFormat="1" applyFont="1" applyBorder="1" applyAlignment="1">
      <alignment horizontal="center" vertical="center" wrapText="1"/>
    </xf>
    <xf numFmtId="17" fontId="10" fillId="0" borderId="7" xfId="0" applyNumberFormat="1" applyFont="1" applyBorder="1"/>
    <xf numFmtId="0" fontId="29" fillId="0" borderId="0" xfId="0" applyFont="1"/>
    <xf numFmtId="0" fontId="19" fillId="6" borderId="1" xfId="0" applyFont="1" applyFill="1" applyBorder="1" applyAlignment="1">
      <alignment horizontal="left"/>
    </xf>
    <xf numFmtId="0" fontId="19" fillId="6" borderId="1" xfId="0" applyFont="1" applyFill="1" applyBorder="1" applyAlignment="1">
      <alignment horizontal="centerContinuous"/>
    </xf>
    <xf numFmtId="0" fontId="19" fillId="6" borderId="1" xfId="0" applyFont="1" applyFill="1" applyBorder="1"/>
    <xf numFmtId="2" fontId="19" fillId="6" borderId="1" xfId="0" applyNumberFormat="1" applyFont="1" applyFill="1" applyBorder="1"/>
    <xf numFmtId="44" fontId="20" fillId="6" borderId="1" xfId="2" applyNumberFormat="1" applyFont="1" applyFill="1" applyBorder="1"/>
    <xf numFmtId="164" fontId="19" fillId="6" borderId="4" xfId="0" applyNumberFormat="1" applyFont="1" applyFill="1" applyBorder="1"/>
    <xf numFmtId="164" fontId="19" fillId="6" borderId="1" xfId="0" applyNumberFormat="1" applyFont="1" applyFill="1" applyBorder="1"/>
    <xf numFmtId="0" fontId="25" fillId="6" borderId="15" xfId="0" applyFont="1" applyFill="1" applyBorder="1"/>
    <xf numFmtId="170" fontId="25" fillId="6" borderId="15" xfId="0" applyNumberFormat="1" applyFont="1" applyFill="1" applyBorder="1"/>
    <xf numFmtId="171" fontId="25" fillId="6" borderId="17" xfId="0" applyNumberFormat="1" applyFont="1" applyFill="1" applyBorder="1"/>
    <xf numFmtId="171" fontId="28" fillId="6" borderId="17" xfId="0" applyNumberFormat="1" applyFont="1" applyFill="1" applyBorder="1"/>
    <xf numFmtId="2" fontId="25" fillId="6" borderId="18" xfId="0" applyNumberFormat="1" applyFont="1" applyFill="1" applyBorder="1"/>
    <xf numFmtId="164" fontId="0" fillId="0" borderId="0" xfId="2" applyFont="1"/>
    <xf numFmtId="0" fontId="1" fillId="6" borderId="0" xfId="0" applyFont="1" applyFill="1"/>
    <xf numFmtId="44" fontId="1" fillId="6" borderId="0" xfId="0" applyNumberFormat="1" applyFont="1" applyFill="1"/>
    <xf numFmtId="164" fontId="9" fillId="0" borderId="0" xfId="2" applyFont="1" applyBorder="1"/>
    <xf numFmtId="0" fontId="8" fillId="3" borderId="3" xfId="0" applyFont="1" applyFill="1" applyBorder="1"/>
    <xf numFmtId="0" fontId="11" fillId="3" borderId="3" xfId="0" applyFont="1" applyFill="1" applyBorder="1"/>
    <xf numFmtId="164" fontId="11" fillId="3" borderId="3" xfId="2" applyFont="1" applyFill="1" applyBorder="1"/>
    <xf numFmtId="0" fontId="25" fillId="6" borderId="15" xfId="0" applyFont="1" applyFill="1" applyBorder="1" applyAlignment="1">
      <alignment vertical="center"/>
    </xf>
    <xf numFmtId="171" fontId="25" fillId="6" borderId="15" xfId="0" applyNumberFormat="1" applyFont="1" applyFill="1" applyBorder="1"/>
    <xf numFmtId="171" fontId="25" fillId="6" borderId="21" xfId="0" applyNumberFormat="1" applyFont="1" applyFill="1" applyBorder="1"/>
    <xf numFmtId="0" fontId="23" fillId="0" borderId="1" xfId="0" applyFont="1" applyBorder="1"/>
    <xf numFmtId="170" fontId="23" fillId="0" borderId="1" xfId="0" applyNumberFormat="1" applyFont="1" applyBorder="1"/>
    <xf numFmtId="0" fontId="23" fillId="5" borderId="1" xfId="0" applyFont="1" applyFill="1" applyBorder="1" applyAlignment="1">
      <alignment vertical="center" wrapText="1"/>
    </xf>
    <xf numFmtId="0" fontId="25" fillId="5" borderId="19" xfId="0" applyFont="1" applyFill="1" applyBorder="1" applyAlignment="1">
      <alignment horizontal="left" vertical="center"/>
    </xf>
    <xf numFmtId="43" fontId="26" fillId="5" borderId="3" xfId="4" applyFont="1" applyFill="1" applyBorder="1" applyAlignment="1">
      <alignment horizontal="center" vertical="center" wrapText="1"/>
    </xf>
    <xf numFmtId="171" fontId="25" fillId="5" borderId="8" xfId="0" applyNumberFormat="1" applyFont="1" applyFill="1" applyBorder="1" applyAlignment="1">
      <alignment horizontal="right" vertical="center"/>
    </xf>
    <xf numFmtId="171" fontId="25" fillId="5" borderId="9" xfId="0" applyNumberFormat="1" applyFont="1" applyFill="1" applyBorder="1" applyAlignment="1">
      <alignment horizontal="right" vertical="center"/>
    </xf>
    <xf numFmtId="2" fontId="25" fillId="5" borderId="20" xfId="0" applyNumberFormat="1" applyFont="1" applyFill="1" applyBorder="1" applyAlignment="1">
      <alignment horizontal="right" vertical="center"/>
    </xf>
    <xf numFmtId="0" fontId="25" fillId="5" borderId="15" xfId="0" applyFont="1" applyFill="1" applyBorder="1" applyAlignment="1">
      <alignment vertical="center"/>
    </xf>
    <xf numFmtId="171" fontId="25" fillId="5" borderId="15" xfId="0" applyNumberFormat="1" applyFont="1" applyFill="1" applyBorder="1"/>
    <xf numFmtId="171" fontId="25" fillId="5" borderId="21" xfId="0" applyNumberFormat="1" applyFont="1" applyFill="1" applyBorder="1"/>
    <xf numFmtId="171" fontId="25" fillId="5" borderId="22" xfId="0" applyNumberFormat="1" applyFont="1" applyFill="1" applyBorder="1"/>
    <xf numFmtId="0" fontId="0" fillId="5" borderId="5" xfId="0" applyFill="1" applyBorder="1"/>
    <xf numFmtId="44" fontId="20" fillId="5" borderId="4" xfId="2" applyNumberFormat="1" applyFont="1" applyFill="1" applyBorder="1"/>
    <xf numFmtId="0" fontId="10" fillId="0" borderId="1" xfId="0" applyFont="1" applyBorder="1" applyAlignment="1">
      <alignment horizontal="center"/>
    </xf>
    <xf numFmtId="0" fontId="1" fillId="10" borderId="0" xfId="0" applyFont="1" applyFill="1"/>
    <xf numFmtId="174" fontId="9" fillId="10" borderId="0" xfId="0" applyNumberFormat="1" applyFont="1" applyFill="1"/>
    <xf numFmtId="44" fontId="20" fillId="6" borderId="4" xfId="2" applyNumberFormat="1" applyFont="1" applyFill="1" applyBorder="1"/>
    <xf numFmtId="43" fontId="0" fillId="0" borderId="0" xfId="0" applyNumberFormat="1"/>
    <xf numFmtId="2" fontId="19" fillId="5" borderId="1" xfId="0" applyNumberFormat="1" applyFont="1" applyFill="1" applyBorder="1"/>
    <xf numFmtId="164" fontId="19" fillId="5" borderId="1" xfId="0" applyNumberFormat="1" applyFont="1" applyFill="1" applyBorder="1"/>
    <xf numFmtId="0" fontId="19" fillId="11" borderId="1" xfId="0" applyFont="1" applyFill="1" applyBorder="1" applyAlignment="1">
      <alignment horizontal="left" vertical="center"/>
    </xf>
    <xf numFmtId="0" fontId="19" fillId="11" borderId="1" xfId="0" applyFont="1" applyFill="1" applyBorder="1" applyAlignment="1">
      <alignment horizontal="centerContinuous" vertical="center" wrapText="1"/>
    </xf>
    <xf numFmtId="0" fontId="19" fillId="11" borderId="1" xfId="0" applyFont="1" applyFill="1" applyBorder="1"/>
    <xf numFmtId="2" fontId="19" fillId="11" borderId="1" xfId="0" applyNumberFormat="1" applyFont="1" applyFill="1" applyBorder="1"/>
    <xf numFmtId="44" fontId="20" fillId="11" borderId="1" xfId="2" applyNumberFormat="1" applyFont="1" applyFill="1" applyBorder="1"/>
    <xf numFmtId="164" fontId="19" fillId="11" borderId="4" xfId="0" applyNumberFormat="1" applyFont="1" applyFill="1" applyBorder="1"/>
    <xf numFmtId="164" fontId="19" fillId="11" borderId="1" xfId="0" applyNumberFormat="1" applyFont="1" applyFill="1" applyBorder="1"/>
    <xf numFmtId="0" fontId="19" fillId="11" borderId="1" xfId="0" applyFont="1" applyFill="1" applyBorder="1" applyAlignment="1">
      <alignment horizontal="left"/>
    </xf>
    <xf numFmtId="0" fontId="25" fillId="11" borderId="15" xfId="0" applyFont="1" applyFill="1" applyBorder="1" applyAlignment="1">
      <alignment horizontal="left" vertical="center"/>
    </xf>
    <xf numFmtId="0" fontId="26" fillId="11" borderId="1" xfId="3" applyFont="1" applyFill="1" applyBorder="1"/>
    <xf numFmtId="43" fontId="26" fillId="11" borderId="1" xfId="4" applyFont="1" applyFill="1" applyBorder="1"/>
    <xf numFmtId="0" fontId="25" fillId="11" borderId="15" xfId="0" applyFont="1" applyFill="1" applyBorder="1"/>
    <xf numFmtId="0" fontId="19" fillId="11" borderId="15" xfId="0" applyFont="1" applyFill="1" applyBorder="1"/>
    <xf numFmtId="170" fontId="25" fillId="11" borderId="15" xfId="0" applyNumberFormat="1" applyFont="1" applyFill="1" applyBorder="1"/>
    <xf numFmtId="171" fontId="25" fillId="11" borderId="16" xfId="0" applyNumberFormat="1" applyFont="1" applyFill="1" applyBorder="1"/>
    <xf numFmtId="171" fontId="25" fillId="11" borderId="1" xfId="0" applyNumberFormat="1" applyFont="1" applyFill="1" applyBorder="1"/>
    <xf numFmtId="171" fontId="25" fillId="11" borderId="17" xfId="0" applyNumberFormat="1" applyFont="1" applyFill="1" applyBorder="1"/>
    <xf numFmtId="171" fontId="28" fillId="11" borderId="17" xfId="0" applyNumberFormat="1" applyFont="1" applyFill="1" applyBorder="1"/>
    <xf numFmtId="2" fontId="25" fillId="11" borderId="18" xfId="0" applyNumberFormat="1" applyFont="1" applyFill="1" applyBorder="1"/>
    <xf numFmtId="0" fontId="25" fillId="11" borderId="15" xfId="0" applyFont="1" applyFill="1" applyBorder="1" applyAlignment="1">
      <alignment vertical="center"/>
    </xf>
    <xf numFmtId="0" fontId="26" fillId="11" borderId="3" xfId="3" applyFont="1" applyFill="1" applyBorder="1"/>
    <xf numFmtId="43" fontId="26" fillId="11" borderId="3" xfId="4" applyFont="1" applyFill="1" applyBorder="1"/>
    <xf numFmtId="0" fontId="19" fillId="5" borderId="1" xfId="0" applyFont="1" applyFill="1" applyBorder="1" applyAlignment="1">
      <alignment horizontal="centerContinuous"/>
    </xf>
    <xf numFmtId="4" fontId="10" fillId="5" borderId="1" xfId="0" applyNumberFormat="1" applyFont="1" applyFill="1" applyBorder="1" applyAlignment="1">
      <alignment horizontal="right"/>
    </xf>
    <xf numFmtId="2" fontId="18" fillId="0" borderId="1" xfId="0" applyNumberFormat="1" applyFont="1" applyBorder="1" applyAlignment="1">
      <alignment horizontal="center" vertical="center" wrapText="1"/>
    </xf>
    <xf numFmtId="0" fontId="1" fillId="0" borderId="1" xfId="0" applyFont="1" applyBorder="1"/>
    <xf numFmtId="164" fontId="9" fillId="0" borderId="1" xfId="2" applyFont="1" applyBorder="1"/>
    <xf numFmtId="4" fontId="1" fillId="0" borderId="1" xfId="0" applyNumberFormat="1" applyFont="1" applyBorder="1"/>
    <xf numFmtId="4" fontId="14" fillId="0" borderId="1" xfId="0" applyNumberFormat="1" applyFont="1" applyBorder="1"/>
    <xf numFmtId="44" fontId="20" fillId="11" borderId="4" xfId="2" applyNumberFormat="1" applyFont="1" applyFill="1" applyBorder="1"/>
    <xf numFmtId="171" fontId="32" fillId="5" borderId="1" xfId="0" applyNumberFormat="1" applyFont="1" applyFill="1" applyBorder="1"/>
    <xf numFmtId="0" fontId="0" fillId="13" borderId="0" xfId="0" applyFill="1"/>
    <xf numFmtId="0" fontId="5" fillId="6" borderId="0" xfId="0" applyFont="1" applyFill="1" applyAlignment="1">
      <alignment horizontal="center" vertical="center" wrapText="1"/>
    </xf>
    <xf numFmtId="0" fontId="5" fillId="6" borderId="2" xfId="0" applyFont="1" applyFill="1" applyBorder="1" applyAlignment="1">
      <alignment horizontal="center" vertical="center" wrapText="1"/>
    </xf>
    <xf numFmtId="0" fontId="31" fillId="6" borderId="0" xfId="0" applyFont="1" applyFill="1" applyAlignment="1">
      <alignment horizontal="center" wrapText="1"/>
    </xf>
    <xf numFmtId="0" fontId="31" fillId="6" borderId="0" xfId="0" applyFont="1" applyFill="1" applyAlignment="1">
      <alignment horizontal="center"/>
    </xf>
    <xf numFmtId="0" fontId="1" fillId="12" borderId="0" xfId="0" applyFont="1" applyFill="1" applyAlignment="1">
      <alignment horizontal="left" vertical="center" wrapText="1"/>
    </xf>
    <xf numFmtId="0" fontId="1" fillId="12" borderId="0" xfId="0" applyFont="1" applyFill="1" applyAlignment="1">
      <alignment horizontal="left" vertical="center"/>
    </xf>
    <xf numFmtId="164" fontId="0" fillId="0" borderId="2" xfId="2" applyFont="1" applyBorder="1" applyAlignment="1">
      <alignment horizontal="center"/>
    </xf>
    <xf numFmtId="0" fontId="1" fillId="11" borderId="0" xfId="0" applyFont="1" applyFill="1" applyAlignment="1">
      <alignment horizontal="center" vertical="center" wrapText="1"/>
    </xf>
    <xf numFmtId="174" fontId="0" fillId="0" borderId="2" xfId="0" applyNumberFormat="1" applyBorder="1" applyAlignment="1">
      <alignment horizontal="center"/>
    </xf>
    <xf numFmtId="0" fontId="0" fillId="0" borderId="2" xfId="0" applyBorder="1" applyAlignment="1">
      <alignment horizontal="left"/>
    </xf>
    <xf numFmtId="0" fontId="21" fillId="7" borderId="8" xfId="0" applyFont="1" applyFill="1" applyBorder="1" applyAlignment="1">
      <alignment horizontal="center" vertical="center" wrapText="1"/>
    </xf>
    <xf numFmtId="0" fontId="22" fillId="0" borderId="9" xfId="0" applyFont="1" applyBorder="1"/>
    <xf numFmtId="0" fontId="22" fillId="0" borderId="10" xfId="0" applyFont="1" applyBorder="1"/>
    <xf numFmtId="0" fontId="24" fillId="9" borderId="8" xfId="0" applyFont="1" applyFill="1" applyBorder="1" applyAlignment="1">
      <alignment horizontal="left" vertical="center" wrapText="1"/>
    </xf>
    <xf numFmtId="44" fontId="23" fillId="0" borderId="13" xfId="0" applyNumberFormat="1" applyFont="1" applyBorder="1" applyAlignment="1">
      <alignment horizontal="center"/>
    </xf>
    <xf numFmtId="0" fontId="19" fillId="5" borderId="1" xfId="0" applyFont="1" applyFill="1" applyBorder="1" applyAlignment="1">
      <alignment horizontal="left" vertical="center" wrapText="1"/>
    </xf>
    <xf numFmtId="0" fontId="19" fillId="5" borderId="1" xfId="0" applyFont="1" applyFill="1" applyBorder="1" applyAlignment="1">
      <alignment horizontal="center" vertical="center" wrapText="1"/>
    </xf>
    <xf numFmtId="164" fontId="14" fillId="0" borderId="0" xfId="2" applyFont="1"/>
    <xf numFmtId="0" fontId="0" fillId="5" borderId="0" xfId="0" applyFill="1"/>
    <xf numFmtId="2" fontId="0" fillId="5" borderId="0" xfId="0" applyNumberFormat="1" applyFill="1"/>
    <xf numFmtId="44" fontId="0" fillId="5" borderId="0" xfId="0" applyNumberFormat="1" applyFill="1"/>
    <xf numFmtId="0" fontId="33" fillId="5" borderId="15" xfId="0" applyFont="1" applyFill="1" applyBorder="1"/>
    <xf numFmtId="0" fontId="25" fillId="6" borderId="15" xfId="0" applyFont="1" applyFill="1" applyBorder="1" applyAlignment="1">
      <alignment horizontal="left" vertical="center"/>
    </xf>
    <xf numFmtId="0" fontId="26" fillId="6" borderId="1" xfId="3" applyFont="1" applyFill="1" applyBorder="1"/>
    <xf numFmtId="43" fontId="26" fillId="6" borderId="1" xfId="4" applyFont="1" applyFill="1" applyBorder="1"/>
    <xf numFmtId="0" fontId="19" fillId="6" borderId="15" xfId="0" applyFont="1" applyFill="1" applyBorder="1"/>
    <xf numFmtId="171" fontId="25" fillId="6" borderId="16" xfId="0" applyNumberFormat="1" applyFont="1" applyFill="1" applyBorder="1"/>
    <xf numFmtId="171" fontId="25" fillId="6" borderId="1" xfId="0" applyNumberFormat="1" applyFont="1" applyFill="1" applyBorder="1"/>
    <xf numFmtId="0" fontId="23" fillId="6" borderId="15" xfId="0" applyFont="1" applyFill="1" applyBorder="1" applyAlignment="1">
      <alignment horizontal="center"/>
    </xf>
    <xf numFmtId="0" fontId="24" fillId="0" borderId="1" xfId="0" applyFont="1" applyBorder="1"/>
  </cellXfs>
  <cellStyles count="5">
    <cellStyle name="Hipervínculo" xfId="1" builtinId="8"/>
    <cellStyle name="Millares 2" xfId="4" xr:uid="{00000000-0005-0000-0000-000001000000}"/>
    <cellStyle name="Moneda" xfId="2" builtinId="4"/>
    <cellStyle name="Normal" xfId="0" builtinId="0"/>
    <cellStyle name="Normal 2" xfId="3" xr:uid="{00000000-0005-0000-0000-000004000000}"/>
  </cellStyles>
  <dxfs count="0"/>
  <tableStyles count="0" defaultTableStyle="TableStyleMedium2" defaultPivotStyle="PivotStyleLight16"/>
  <colors>
    <mruColors>
      <color rgb="FF09F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390525</xdr:colOff>
      <xdr:row>1</xdr:row>
      <xdr:rowOff>76200</xdr:rowOff>
    </xdr:from>
    <xdr:ext cx="2333625" cy="1028699"/>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1400175" y="342900"/>
          <a:ext cx="2333625" cy="1028699"/>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8"/>
  <sheetViews>
    <sheetView topLeftCell="A31" workbookViewId="0">
      <selection activeCell="C39" sqref="C39"/>
    </sheetView>
  </sheetViews>
  <sheetFormatPr baseColWidth="10" defaultRowHeight="15" x14ac:dyDescent="0.25"/>
  <cols>
    <col min="1" max="1" width="38" customWidth="1"/>
    <col min="2" max="2" width="40.28515625" customWidth="1"/>
    <col min="3" max="3" width="16.42578125" customWidth="1"/>
    <col min="4" max="4" width="12.140625" bestFit="1" customWidth="1"/>
    <col min="6" max="6" width="13" bestFit="1" customWidth="1"/>
  </cols>
  <sheetData>
    <row r="2" spans="1:3" x14ac:dyDescent="0.25">
      <c r="B2" t="s">
        <v>9</v>
      </c>
      <c r="C2" t="s">
        <v>21</v>
      </c>
    </row>
    <row r="3" spans="1:3" x14ac:dyDescent="0.25">
      <c r="B3" t="s">
        <v>3</v>
      </c>
    </row>
    <row r="4" spans="1:3" x14ac:dyDescent="0.25">
      <c r="B4" s="3" t="s">
        <v>2</v>
      </c>
    </row>
    <row r="5" spans="1:3" ht="8.25" customHeight="1" x14ac:dyDescent="0.25">
      <c r="A5" s="2"/>
      <c r="B5" s="15"/>
      <c r="C5" s="2"/>
    </row>
    <row r="7" spans="1:3" x14ac:dyDescent="0.25">
      <c r="A7" s="16" t="s">
        <v>24</v>
      </c>
      <c r="B7" s="17" t="s">
        <v>123</v>
      </c>
      <c r="C7" s="17" t="s">
        <v>122</v>
      </c>
    </row>
    <row r="8" spans="1:3" x14ac:dyDescent="0.25">
      <c r="A8" s="2"/>
      <c r="B8" s="2"/>
      <c r="C8" s="2"/>
    </row>
    <row r="10" spans="1:3" x14ac:dyDescent="0.25">
      <c r="A10" s="7" t="s">
        <v>18</v>
      </c>
    </row>
    <row r="11" spans="1:3" x14ac:dyDescent="0.25">
      <c r="A11" t="s">
        <v>13</v>
      </c>
    </row>
    <row r="12" spans="1:3" x14ac:dyDescent="0.25">
      <c r="A12" t="s">
        <v>14</v>
      </c>
    </row>
    <row r="13" spans="1:3" x14ac:dyDescent="0.25">
      <c r="A13" t="s">
        <v>16</v>
      </c>
    </row>
    <row r="15" spans="1:3" x14ac:dyDescent="0.25">
      <c r="A15" s="13" t="s">
        <v>5</v>
      </c>
    </row>
    <row r="16" spans="1:3" x14ac:dyDescent="0.25">
      <c r="A16" s="35" t="s">
        <v>4</v>
      </c>
      <c r="B16" s="28"/>
      <c r="C16" s="36"/>
    </row>
    <row r="17" spans="1:6" x14ac:dyDescent="0.25">
      <c r="A17" s="28"/>
      <c r="B17" s="37"/>
      <c r="C17" s="33"/>
      <c r="D17" s="4"/>
      <c r="E17" s="6"/>
    </row>
    <row r="18" spans="1:6" x14ac:dyDescent="0.25">
      <c r="A18" s="28" t="s">
        <v>105</v>
      </c>
      <c r="B18" s="38"/>
      <c r="C18" s="33">
        <v>76654</v>
      </c>
      <c r="D18" s="4"/>
      <c r="E18" s="6"/>
    </row>
    <row r="19" spans="1:6" x14ac:dyDescent="0.25">
      <c r="A19" s="28" t="s">
        <v>10</v>
      </c>
      <c r="B19" s="39"/>
      <c r="C19" s="206">
        <v>320979.07</v>
      </c>
      <c r="D19" s="20"/>
      <c r="F19" s="6"/>
    </row>
    <row r="20" spans="1:6" x14ac:dyDescent="0.25">
      <c r="A20" s="28" t="s">
        <v>119</v>
      </c>
      <c r="B20" s="39"/>
      <c r="C20" s="206">
        <v>610197</v>
      </c>
      <c r="D20" s="20"/>
      <c r="F20" s="6"/>
    </row>
    <row r="21" spans="1:6" x14ac:dyDescent="0.25">
      <c r="A21" s="28" t="s">
        <v>25</v>
      </c>
      <c r="B21" s="39"/>
      <c r="C21" s="33">
        <v>75000</v>
      </c>
      <c r="D21" s="20"/>
      <c r="F21" s="6"/>
    </row>
    <row r="22" spans="1:6" x14ac:dyDescent="0.25">
      <c r="A22" s="28" t="s">
        <v>118</v>
      </c>
      <c r="B22" s="39"/>
      <c r="C22" s="33">
        <v>15748</v>
      </c>
      <c r="D22" s="4"/>
      <c r="E22" s="6"/>
      <c r="F22" t="s">
        <v>117</v>
      </c>
    </row>
    <row r="23" spans="1:6" x14ac:dyDescent="0.25">
      <c r="A23" s="28" t="s">
        <v>11</v>
      </c>
      <c r="B23" s="39" t="s">
        <v>22</v>
      </c>
      <c r="C23" s="33">
        <v>83400</v>
      </c>
    </row>
    <row r="24" spans="1:6" x14ac:dyDescent="0.25">
      <c r="A24" s="40"/>
      <c r="B24" s="41"/>
      <c r="C24" s="23">
        <f>SUM(C17:C23)</f>
        <v>1181978.07</v>
      </c>
    </row>
    <row r="25" spans="1:6" ht="15.75" x14ac:dyDescent="0.25">
      <c r="A25" s="35" t="s">
        <v>12</v>
      </c>
      <c r="B25" s="39"/>
      <c r="C25" s="176"/>
      <c r="D25" s="45"/>
      <c r="F25" s="12"/>
    </row>
    <row r="26" spans="1:6" ht="15.75" x14ac:dyDescent="0.25">
      <c r="A26" s="28" t="s">
        <v>97</v>
      </c>
      <c r="B26" s="42"/>
      <c r="C26" s="33">
        <f>349151.87+ (349151.87*10%)</f>
        <v>384067.05699999997</v>
      </c>
      <c r="D26" s="45"/>
      <c r="F26" s="12"/>
    </row>
    <row r="27" spans="1:6" ht="15.75" x14ac:dyDescent="0.25">
      <c r="A27" s="28" t="s">
        <v>98</v>
      </c>
      <c r="B27" s="42"/>
      <c r="C27" s="33">
        <v>5684</v>
      </c>
      <c r="D27" s="45"/>
      <c r="F27" s="12"/>
    </row>
    <row r="28" spans="1:6" ht="15.75" x14ac:dyDescent="0.25">
      <c r="A28" s="174" t="s">
        <v>107</v>
      </c>
      <c r="B28" s="138"/>
      <c r="C28" s="33">
        <v>41110</v>
      </c>
      <c r="F28" s="12"/>
    </row>
    <row r="29" spans="1:6" ht="15.75" x14ac:dyDescent="0.25">
      <c r="A29" s="28" t="s">
        <v>113</v>
      </c>
      <c r="B29" s="42"/>
      <c r="C29" s="33">
        <v>55000</v>
      </c>
      <c r="F29" s="12"/>
    </row>
    <row r="30" spans="1:6" ht="15.75" x14ac:dyDescent="0.25">
      <c r="A30" s="28" t="s">
        <v>91</v>
      </c>
      <c r="B30" s="39"/>
      <c r="C30" s="34"/>
      <c r="D30" s="4"/>
      <c r="E30" s="6"/>
      <c r="F30" s="12"/>
    </row>
    <row r="31" spans="1:6" ht="15.75" x14ac:dyDescent="0.25">
      <c r="A31" s="40"/>
      <c r="B31" s="41"/>
      <c r="C31" s="23">
        <f>SUM(C25:C30)</f>
        <v>485861.05699999997</v>
      </c>
      <c r="F31" s="12"/>
    </row>
    <row r="32" spans="1:6" ht="15.75" x14ac:dyDescent="0.25">
      <c r="A32" s="30" t="s">
        <v>6</v>
      </c>
      <c r="B32" s="30"/>
      <c r="C32" s="43">
        <f>+C31+C24</f>
        <v>1667839.1270000001</v>
      </c>
      <c r="F32" s="12"/>
    </row>
    <row r="33" spans="1:6" ht="15.75" x14ac:dyDescent="0.25">
      <c r="C33" s="24"/>
      <c r="F33" s="12"/>
    </row>
    <row r="34" spans="1:6" ht="15.75" x14ac:dyDescent="0.25">
      <c r="A34" s="13" t="s">
        <v>17</v>
      </c>
      <c r="C34" s="24"/>
      <c r="F34" s="12"/>
    </row>
    <row r="35" spans="1:6" ht="15.75" x14ac:dyDescent="0.25">
      <c r="A35" s="28"/>
      <c r="B35" s="28"/>
      <c r="C35" s="33"/>
      <c r="F35" s="12"/>
    </row>
    <row r="36" spans="1:6" ht="15.75" x14ac:dyDescent="0.25">
      <c r="A36" s="28"/>
      <c r="B36" s="28"/>
      <c r="C36" s="34"/>
      <c r="F36" s="12"/>
    </row>
    <row r="37" spans="1:6" ht="15.75" x14ac:dyDescent="0.25">
      <c r="A37" s="28"/>
      <c r="B37" s="28"/>
      <c r="C37" s="34"/>
      <c r="F37" s="12"/>
    </row>
    <row r="38" spans="1:6" ht="15.75" x14ac:dyDescent="0.25">
      <c r="C38" s="25"/>
      <c r="F38" s="12"/>
    </row>
    <row r="39" spans="1:6" ht="15.75" x14ac:dyDescent="0.25">
      <c r="A39" s="177" t="s">
        <v>111</v>
      </c>
      <c r="B39" s="177"/>
      <c r="C39" s="178">
        <v>400000</v>
      </c>
      <c r="F39" s="12"/>
    </row>
    <row r="40" spans="1:6" ht="15.75" x14ac:dyDescent="0.25">
      <c r="C40" s="25"/>
      <c r="F40" s="12"/>
    </row>
    <row r="41" spans="1:6" x14ac:dyDescent="0.25">
      <c r="A41" s="13" t="s">
        <v>15</v>
      </c>
      <c r="B41" s="13"/>
      <c r="C41" s="14">
        <f>+C35+C36+C37+C40</f>
        <v>0</v>
      </c>
      <c r="E41" s="6"/>
    </row>
    <row r="43" spans="1:6" x14ac:dyDescent="0.25">
      <c r="A43" s="18" t="s">
        <v>7</v>
      </c>
      <c r="B43" s="18"/>
      <c r="C43" s="19">
        <f>+C41+C32</f>
        <v>1667839.1270000001</v>
      </c>
    </row>
    <row r="45" spans="1:6" x14ac:dyDescent="0.25">
      <c r="A45" s="219" t="s">
        <v>110</v>
      </c>
      <c r="B45" s="220"/>
      <c r="C45" s="220"/>
    </row>
    <row r="46" spans="1:6" x14ac:dyDescent="0.25">
      <c r="A46" s="220"/>
      <c r="B46" s="220"/>
      <c r="C46" s="220"/>
    </row>
    <row r="47" spans="1:6" x14ac:dyDescent="0.25">
      <c r="A47" s="220"/>
      <c r="B47" s="220"/>
      <c r="C47" s="220"/>
    </row>
    <row r="48" spans="1:6" ht="23.25" customHeight="1" x14ac:dyDescent="0.25">
      <c r="A48" s="220"/>
      <c r="B48" s="220"/>
      <c r="C48" s="220"/>
      <c r="D48" s="5"/>
      <c r="E48" s="5"/>
    </row>
    <row r="49" spans="1:6" ht="15" customHeight="1" x14ac:dyDescent="0.25">
      <c r="A49" s="4"/>
      <c r="C49" s="155"/>
      <c r="D49" s="6"/>
      <c r="E49" s="6"/>
    </row>
    <row r="50" spans="1:6" x14ac:dyDescent="0.25">
      <c r="A50" s="208" t="s">
        <v>100</v>
      </c>
      <c r="B50" s="28"/>
      <c r="C50" s="209">
        <v>149754.72</v>
      </c>
      <c r="D50" s="6"/>
      <c r="E50" s="6"/>
    </row>
    <row r="51" spans="1:6" x14ac:dyDescent="0.25">
      <c r="A51" s="208" t="s">
        <v>124</v>
      </c>
      <c r="B51" s="28"/>
      <c r="C51" s="31">
        <f>-(C32-C30)</f>
        <v>-1667839.1270000001</v>
      </c>
      <c r="D51" s="6"/>
      <c r="E51" s="6"/>
    </row>
    <row r="52" spans="1:6" x14ac:dyDescent="0.25">
      <c r="A52" s="208" t="s">
        <v>96</v>
      </c>
      <c r="B52" s="28"/>
      <c r="C52" s="210">
        <f>'prorrateo '!F31</f>
        <v>2872567.6936899996</v>
      </c>
    </row>
    <row r="53" spans="1:6" x14ac:dyDescent="0.25">
      <c r="A53" s="208" t="s">
        <v>121</v>
      </c>
      <c r="B53" s="28"/>
      <c r="C53" s="232">
        <v>-4346.7907999999998</v>
      </c>
    </row>
    <row r="54" spans="1:6" x14ac:dyDescent="0.25">
      <c r="A54" s="208" t="s">
        <v>120</v>
      </c>
      <c r="B54" s="28"/>
      <c r="C54" s="210">
        <v>107386.2</v>
      </c>
    </row>
    <row r="55" spans="1:6" x14ac:dyDescent="0.25">
      <c r="A55" s="208" t="s">
        <v>114</v>
      </c>
      <c r="B55" s="28"/>
      <c r="C55" s="211">
        <v>-376000</v>
      </c>
    </row>
    <row r="56" spans="1:6" x14ac:dyDescent="0.25">
      <c r="A56" s="208" t="s">
        <v>8</v>
      </c>
      <c r="B56" s="28"/>
      <c r="C56" s="209">
        <f>SUM(C48:C55)</f>
        <v>1081522.6958899994</v>
      </c>
      <c r="D56" s="5"/>
    </row>
    <row r="57" spans="1:6" ht="12.75" customHeight="1" x14ac:dyDescent="0.25">
      <c r="A57" s="9"/>
      <c r="B57" s="8"/>
      <c r="C57" s="10"/>
    </row>
    <row r="58" spans="1:6" hidden="1" x14ac:dyDescent="0.25">
      <c r="A58" s="215"/>
      <c r="B58" s="215"/>
      <c r="C58" s="215"/>
      <c r="F58" s="44"/>
    </row>
    <row r="59" spans="1:6" ht="46.5" hidden="1" customHeight="1" x14ac:dyDescent="0.25">
      <c r="A59" s="216"/>
      <c r="B59" s="216"/>
      <c r="C59" s="216"/>
    </row>
    <row r="60" spans="1:6" ht="0.75" hidden="1" customHeight="1" x14ac:dyDescent="0.25">
      <c r="A60" s="26" t="s">
        <v>20</v>
      </c>
      <c r="B60" s="27"/>
      <c r="C60" s="29"/>
    </row>
    <row r="61" spans="1:6" hidden="1" x14ac:dyDescent="0.25">
      <c r="A61" s="28" t="s">
        <v>23</v>
      </c>
      <c r="B61" s="28"/>
      <c r="C61" s="31">
        <f>-C41</f>
        <v>0</v>
      </c>
    </row>
    <row r="62" spans="1:6" hidden="1" x14ac:dyDescent="0.25">
      <c r="A62" s="28"/>
      <c r="B62" s="28"/>
      <c r="C62" s="31"/>
    </row>
    <row r="63" spans="1:6" hidden="1" x14ac:dyDescent="0.25">
      <c r="A63" s="28"/>
      <c r="B63" s="28"/>
      <c r="C63" s="32"/>
    </row>
    <row r="64" spans="1:6" hidden="1" x14ac:dyDescent="0.25">
      <c r="A64" s="156" t="s">
        <v>0</v>
      </c>
      <c r="B64" s="157"/>
      <c r="C64" s="158">
        <f>SUM(C60:C63)</f>
        <v>0</v>
      </c>
    </row>
    <row r="65" spans="1:3" x14ac:dyDescent="0.25">
      <c r="A65" s="217" t="s">
        <v>108</v>
      </c>
      <c r="B65" s="218"/>
      <c r="C65" s="218"/>
    </row>
    <row r="66" spans="1:3" x14ac:dyDescent="0.25">
      <c r="A66" s="218"/>
      <c r="B66" s="218"/>
      <c r="C66" s="218"/>
    </row>
    <row r="67" spans="1:3" x14ac:dyDescent="0.25">
      <c r="A67" s="218"/>
      <c r="B67" s="218"/>
      <c r="C67" s="218"/>
    </row>
    <row r="68" spans="1:3" x14ac:dyDescent="0.25">
      <c r="A68" s="8"/>
      <c r="B68" s="8"/>
      <c r="C68" s="8"/>
    </row>
  </sheetData>
  <mergeCells count="3">
    <mergeCell ref="A58:C59"/>
    <mergeCell ref="A65:C67"/>
    <mergeCell ref="A45:C48"/>
  </mergeCells>
  <phoneticPr fontId="30" type="noConversion"/>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87"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0"/>
  <sheetViews>
    <sheetView tabSelected="1" workbookViewId="0">
      <selection activeCell="G1" sqref="G1:H1"/>
    </sheetView>
  </sheetViews>
  <sheetFormatPr baseColWidth="10" defaultRowHeight="15" x14ac:dyDescent="0.25"/>
  <cols>
    <col min="1" max="1" width="19.42578125" style="1" customWidth="1"/>
    <col min="2" max="2" width="12.140625" style="1" customWidth="1"/>
    <col min="3" max="3" width="13.85546875" customWidth="1"/>
    <col min="4" max="4" width="9.85546875" bestFit="1" customWidth="1"/>
    <col min="5" max="5" width="16.28515625" customWidth="1"/>
    <col min="6" max="6" width="12.42578125" bestFit="1" customWidth="1"/>
    <col min="7" max="7" width="12.140625" customWidth="1"/>
    <col min="8" max="8" width="10.85546875" customWidth="1"/>
    <col min="9" max="9" width="10.7109375" customWidth="1"/>
    <col min="10" max="10" width="10.5703125" customWidth="1"/>
    <col min="11" max="11" width="11.5703125" customWidth="1"/>
    <col min="12" max="12" width="12.42578125" bestFit="1" customWidth="1"/>
    <col min="13" max="13" width="14.5703125" bestFit="1" customWidth="1"/>
    <col min="14" max="14" width="11.42578125" style="11"/>
    <col min="15" max="15" width="13" bestFit="1" customWidth="1"/>
  </cols>
  <sheetData>
    <row r="1" spans="1:15" x14ac:dyDescent="0.25">
      <c r="A1" s="1" t="s">
        <v>103</v>
      </c>
      <c r="B1" s="221">
        <f>D1-K1</f>
        <v>1057642.1270000001</v>
      </c>
      <c r="C1" s="221"/>
      <c r="D1" s="139">
        <v>1667839.1270000001</v>
      </c>
      <c r="E1" t="s">
        <v>102</v>
      </c>
      <c r="G1" s="223">
        <v>400000</v>
      </c>
      <c r="H1" s="223"/>
      <c r="I1" s="224" t="s">
        <v>116</v>
      </c>
      <c r="J1" s="224"/>
      <c r="K1" s="221">
        <f>M1</f>
        <v>610197</v>
      </c>
      <c r="L1" s="221"/>
      <c r="M1">
        <v>610197</v>
      </c>
    </row>
    <row r="2" spans="1:15" ht="34.5" customHeight="1" x14ac:dyDescent="0.25">
      <c r="A2" s="46" t="s">
        <v>26</v>
      </c>
      <c r="B2" s="46" t="s">
        <v>19</v>
      </c>
      <c r="C2" s="137" t="s">
        <v>89</v>
      </c>
      <c r="D2" s="47" t="s">
        <v>1</v>
      </c>
      <c r="E2" s="48" t="s">
        <v>27</v>
      </c>
      <c r="F2" s="48" t="s">
        <v>28</v>
      </c>
      <c r="G2" s="49" t="s">
        <v>29</v>
      </c>
      <c r="H2" s="207" t="s">
        <v>92</v>
      </c>
      <c r="I2" s="50" t="s">
        <v>104</v>
      </c>
      <c r="J2" s="50" t="s">
        <v>115</v>
      </c>
      <c r="K2" s="50" t="s">
        <v>109</v>
      </c>
      <c r="L2" s="51" t="s">
        <v>30</v>
      </c>
    </row>
    <row r="3" spans="1:15" x14ac:dyDescent="0.25">
      <c r="A3" s="52" t="s">
        <v>31</v>
      </c>
      <c r="B3" s="53" t="s">
        <v>90</v>
      </c>
      <c r="C3" s="54" t="s">
        <v>32</v>
      </c>
      <c r="D3" s="55">
        <v>5.1100000000000003</v>
      </c>
      <c r="E3" s="129">
        <v>146174.91749000002</v>
      </c>
      <c r="F3" s="175">
        <f>E3+161</f>
        <v>146335.91749000002</v>
      </c>
      <c r="G3" s="56">
        <f>E3-F3</f>
        <v>-161</v>
      </c>
      <c r="H3" s="56">
        <f>IF(G3&gt;0,G3*4%,0)</f>
        <v>0</v>
      </c>
      <c r="I3" s="56">
        <f>B$1*D3/100</f>
        <v>54045.512689700008</v>
      </c>
      <c r="J3" s="56">
        <f>G$1*D3/100</f>
        <v>20440.000000000004</v>
      </c>
      <c r="K3" s="56">
        <f>K$1*D3/100</f>
        <v>31181.066700000003</v>
      </c>
      <c r="L3" s="57">
        <f>I3+G3+K3+J3+H3</f>
        <v>105505.57938970001</v>
      </c>
      <c r="M3" s="44"/>
    </row>
    <row r="4" spans="1:15" x14ac:dyDescent="0.25">
      <c r="A4" s="58" t="s">
        <v>33</v>
      </c>
      <c r="B4" s="59" t="s">
        <v>101</v>
      </c>
      <c r="C4" s="60" t="s">
        <v>34</v>
      </c>
      <c r="D4" s="61">
        <v>5.09</v>
      </c>
      <c r="E4" s="129">
        <v>145602.80430999998</v>
      </c>
      <c r="F4" s="175">
        <f>E4+734</f>
        <v>146336.80430999998</v>
      </c>
      <c r="G4" s="56">
        <f t="shared" ref="G4:G29" si="0">E4-F4</f>
        <v>-734</v>
      </c>
      <c r="H4" s="56">
        <f t="shared" ref="H4:H29" si="1">IF(G4&gt;0,G4*4%,0)</f>
        <v>0</v>
      </c>
      <c r="I4" s="56">
        <f t="shared" ref="I4:I29" si="2">B$1*D4/100</f>
        <v>53833.984264300001</v>
      </c>
      <c r="J4" s="56">
        <f t="shared" ref="J4:J29" si="3">G$1*D4/100</f>
        <v>20360</v>
      </c>
      <c r="K4" s="56">
        <f t="shared" ref="K4:K29" si="4">K$1*D4/100</f>
        <v>31059.027300000002</v>
      </c>
      <c r="L4" s="57">
        <f t="shared" ref="L4:L29" si="5">I4+G4+K4+J4+H4</f>
        <v>104519.0115643</v>
      </c>
      <c r="M4" s="44"/>
    </row>
    <row r="5" spans="1:15" x14ac:dyDescent="0.25">
      <c r="A5" s="58" t="s">
        <v>35</v>
      </c>
      <c r="B5" s="59"/>
      <c r="C5" s="60" t="s">
        <v>36</v>
      </c>
      <c r="D5" s="61">
        <v>5.04</v>
      </c>
      <c r="E5" s="129">
        <v>291766.26376</v>
      </c>
      <c r="F5" s="175"/>
      <c r="G5" s="56">
        <f t="shared" si="0"/>
        <v>291766.26376</v>
      </c>
      <c r="H5" s="56">
        <f t="shared" si="1"/>
        <v>11670.6505504</v>
      </c>
      <c r="I5" s="56">
        <f t="shared" si="2"/>
        <v>53305.163200800009</v>
      </c>
      <c r="J5" s="56">
        <f t="shared" si="3"/>
        <v>20160</v>
      </c>
      <c r="K5" s="56">
        <f t="shared" si="4"/>
        <v>30753.928799999998</v>
      </c>
      <c r="L5" s="57">
        <f t="shared" si="5"/>
        <v>407656.00631120004</v>
      </c>
      <c r="M5" s="44"/>
    </row>
    <row r="6" spans="1:15" x14ac:dyDescent="0.25">
      <c r="A6" s="58" t="s">
        <v>37</v>
      </c>
      <c r="B6" s="59"/>
      <c r="C6" s="60" t="s">
        <v>38</v>
      </c>
      <c r="D6" s="61">
        <v>5.21</v>
      </c>
      <c r="E6" s="129">
        <v>149035.48339000001</v>
      </c>
      <c r="F6" s="175">
        <f t="shared" ref="F6:F11" si="6">E6</f>
        <v>149035.48339000001</v>
      </c>
      <c r="G6" s="56">
        <f t="shared" si="0"/>
        <v>0</v>
      </c>
      <c r="H6" s="56">
        <f t="shared" si="1"/>
        <v>0</v>
      </c>
      <c r="I6" s="56">
        <f t="shared" si="2"/>
        <v>55103.154816700007</v>
      </c>
      <c r="J6" s="56">
        <f t="shared" si="3"/>
        <v>20840</v>
      </c>
      <c r="K6" s="56">
        <f t="shared" si="4"/>
        <v>31791.2637</v>
      </c>
      <c r="L6" s="57">
        <f t="shared" si="5"/>
        <v>107734.41851670001</v>
      </c>
      <c r="O6" s="180"/>
    </row>
    <row r="7" spans="1:15" x14ac:dyDescent="0.25">
      <c r="A7" s="58" t="s">
        <v>35</v>
      </c>
      <c r="B7" s="59" t="s">
        <v>94</v>
      </c>
      <c r="C7" s="60" t="s">
        <v>39</v>
      </c>
      <c r="D7" s="61">
        <v>5.1100000000000003</v>
      </c>
      <c r="E7" s="129">
        <v>146174.91749000002</v>
      </c>
      <c r="F7" s="175">
        <f t="shared" si="6"/>
        <v>146174.91749000002</v>
      </c>
      <c r="G7" s="56">
        <f t="shared" si="0"/>
        <v>0</v>
      </c>
      <c r="H7" s="56">
        <f t="shared" si="1"/>
        <v>0</v>
      </c>
      <c r="I7" s="56">
        <f t="shared" si="2"/>
        <v>54045.512689700008</v>
      </c>
      <c r="J7" s="56">
        <f t="shared" si="3"/>
        <v>20440.000000000004</v>
      </c>
      <c r="K7" s="56">
        <f t="shared" si="4"/>
        <v>31181.066700000003</v>
      </c>
      <c r="L7" s="57">
        <f t="shared" si="5"/>
        <v>105666.57938970001</v>
      </c>
      <c r="O7" s="180"/>
    </row>
    <row r="8" spans="1:15" x14ac:dyDescent="0.25">
      <c r="A8" s="58" t="s">
        <v>40</v>
      </c>
      <c r="B8" s="59"/>
      <c r="C8" s="60" t="s">
        <v>41</v>
      </c>
      <c r="D8" s="61">
        <v>5.09</v>
      </c>
      <c r="E8" s="129">
        <v>145602.80430999998</v>
      </c>
      <c r="F8" s="175">
        <f t="shared" si="6"/>
        <v>145602.80430999998</v>
      </c>
      <c r="G8" s="56">
        <f t="shared" si="0"/>
        <v>0</v>
      </c>
      <c r="H8" s="56">
        <f t="shared" si="1"/>
        <v>0</v>
      </c>
      <c r="I8" s="56">
        <f t="shared" si="2"/>
        <v>53833.984264300001</v>
      </c>
      <c r="J8" s="56">
        <f t="shared" si="3"/>
        <v>20360</v>
      </c>
      <c r="K8" s="56">
        <f t="shared" si="4"/>
        <v>31059.027300000002</v>
      </c>
      <c r="L8" s="57">
        <f t="shared" si="5"/>
        <v>105253.0115643</v>
      </c>
    </row>
    <row r="9" spans="1:15" x14ac:dyDescent="0.25">
      <c r="A9" s="58" t="s">
        <v>42</v>
      </c>
      <c r="B9" s="59"/>
      <c r="C9" s="60" t="s">
        <v>43</v>
      </c>
      <c r="D9" s="61">
        <v>5.1100000000000003</v>
      </c>
      <c r="E9" s="129">
        <v>146174.91749000002</v>
      </c>
      <c r="F9" s="175">
        <f t="shared" si="6"/>
        <v>146174.91749000002</v>
      </c>
      <c r="G9" s="56">
        <f t="shared" si="0"/>
        <v>0</v>
      </c>
      <c r="H9" s="56">
        <f t="shared" si="1"/>
        <v>0</v>
      </c>
      <c r="I9" s="56">
        <f t="shared" si="2"/>
        <v>54045.512689700008</v>
      </c>
      <c r="J9" s="56">
        <f t="shared" si="3"/>
        <v>20440.000000000004</v>
      </c>
      <c r="K9" s="56">
        <f t="shared" si="4"/>
        <v>31181.066700000003</v>
      </c>
      <c r="L9" s="57">
        <f t="shared" si="5"/>
        <v>105666.57938970001</v>
      </c>
      <c r="O9" s="180"/>
    </row>
    <row r="10" spans="1:15" ht="24.75" customHeight="1" x14ac:dyDescent="0.25">
      <c r="A10" s="183" t="s">
        <v>44</v>
      </c>
      <c r="B10" s="184" t="s">
        <v>99</v>
      </c>
      <c r="C10" s="185" t="s">
        <v>45</v>
      </c>
      <c r="D10" s="186">
        <v>5.09</v>
      </c>
      <c r="E10" s="187">
        <v>145602.80430999998</v>
      </c>
      <c r="F10" s="212">
        <f t="shared" si="6"/>
        <v>145602.80430999998</v>
      </c>
      <c r="G10" s="188">
        <f t="shared" si="0"/>
        <v>0</v>
      </c>
      <c r="H10" s="188"/>
      <c r="I10" s="188">
        <f t="shared" si="2"/>
        <v>53833.984264300001</v>
      </c>
      <c r="J10" s="188">
        <f t="shared" si="3"/>
        <v>20360</v>
      </c>
      <c r="K10" s="188">
        <f t="shared" si="4"/>
        <v>31059.027300000002</v>
      </c>
      <c r="L10" s="189">
        <f t="shared" si="5"/>
        <v>105253.0115643</v>
      </c>
    </row>
    <row r="11" spans="1:15" x14ac:dyDescent="0.25">
      <c r="A11" s="58" t="s">
        <v>95</v>
      </c>
      <c r="B11" s="59"/>
      <c r="C11" s="60" t="s">
        <v>46</v>
      </c>
      <c r="D11" s="61">
        <v>5.04</v>
      </c>
      <c r="E11" s="129">
        <v>144172.52136000001</v>
      </c>
      <c r="F11" s="175">
        <f t="shared" si="6"/>
        <v>144172.52136000001</v>
      </c>
      <c r="G11" s="56">
        <f t="shared" si="0"/>
        <v>0</v>
      </c>
      <c r="H11" s="56">
        <f t="shared" si="1"/>
        <v>0</v>
      </c>
      <c r="I11" s="56">
        <f t="shared" si="2"/>
        <v>53305.163200800009</v>
      </c>
      <c r="J11" s="56">
        <f t="shared" si="3"/>
        <v>20160</v>
      </c>
      <c r="K11" s="56">
        <f t="shared" si="4"/>
        <v>30753.928799999998</v>
      </c>
      <c r="L11" s="57">
        <f t="shared" si="5"/>
        <v>104219.09200080001</v>
      </c>
    </row>
    <row r="12" spans="1:15" x14ac:dyDescent="0.25">
      <c r="A12" s="58" t="s">
        <v>47</v>
      </c>
      <c r="B12" s="59"/>
      <c r="C12" s="60" t="s">
        <v>48</v>
      </c>
      <c r="D12" s="61">
        <v>5.21</v>
      </c>
      <c r="E12" s="129">
        <v>149035.48339000001</v>
      </c>
      <c r="F12" s="175">
        <f t="shared" ref="F4:F12" si="7">E12</f>
        <v>149035.48339000001</v>
      </c>
      <c r="G12" s="56">
        <f t="shared" si="0"/>
        <v>0</v>
      </c>
      <c r="H12" s="56">
        <f t="shared" si="1"/>
        <v>0</v>
      </c>
      <c r="I12" s="56">
        <f t="shared" si="2"/>
        <v>55103.154816700007</v>
      </c>
      <c r="J12" s="56">
        <f t="shared" si="3"/>
        <v>20840</v>
      </c>
      <c r="K12" s="56">
        <f t="shared" si="4"/>
        <v>31791.2637</v>
      </c>
      <c r="L12" s="57">
        <f t="shared" si="5"/>
        <v>107734.41851670001</v>
      </c>
    </row>
    <row r="13" spans="1:15" x14ac:dyDescent="0.25">
      <c r="A13" s="58" t="s">
        <v>49</v>
      </c>
      <c r="B13" s="59" t="s">
        <v>50</v>
      </c>
      <c r="C13" s="60" t="s">
        <v>51</v>
      </c>
      <c r="D13" s="61">
        <v>5.1100000000000003</v>
      </c>
      <c r="E13" s="129">
        <v>146174.91749000002</v>
      </c>
      <c r="F13" s="175">
        <f>E13</f>
        <v>146174.91749000002</v>
      </c>
      <c r="G13" s="56">
        <f t="shared" si="0"/>
        <v>0</v>
      </c>
      <c r="H13" s="56">
        <f t="shared" si="1"/>
        <v>0</v>
      </c>
      <c r="I13" s="56">
        <f t="shared" si="2"/>
        <v>54045.512689700008</v>
      </c>
      <c r="J13" s="56">
        <f t="shared" si="3"/>
        <v>20440.000000000004</v>
      </c>
      <c r="K13" s="56">
        <f t="shared" si="4"/>
        <v>31181.066700000003</v>
      </c>
      <c r="L13" s="57">
        <f t="shared" si="5"/>
        <v>105666.57938970001</v>
      </c>
      <c r="M13" s="44"/>
    </row>
    <row r="14" spans="1:15" x14ac:dyDescent="0.25">
      <c r="A14" s="62" t="s">
        <v>49</v>
      </c>
      <c r="B14" s="205" t="s">
        <v>106</v>
      </c>
      <c r="C14" s="63" t="s">
        <v>52</v>
      </c>
      <c r="D14" s="181">
        <v>5.09</v>
      </c>
      <c r="E14" s="129">
        <v>256016.29710999998</v>
      </c>
      <c r="F14" s="175"/>
      <c r="G14" s="64">
        <f t="shared" si="0"/>
        <v>256016.29710999998</v>
      </c>
      <c r="H14" s="64">
        <f t="shared" si="1"/>
        <v>10240.6518844</v>
      </c>
      <c r="I14" s="64">
        <f t="shared" si="2"/>
        <v>53833.984264300001</v>
      </c>
      <c r="J14" s="64">
        <f t="shared" si="3"/>
        <v>20360</v>
      </c>
      <c r="K14" s="56">
        <f t="shared" si="4"/>
        <v>31059.027300000002</v>
      </c>
      <c r="L14" s="182">
        <f t="shared" si="5"/>
        <v>371509.96055870003</v>
      </c>
    </row>
    <row r="15" spans="1:15" x14ac:dyDescent="0.25">
      <c r="A15" s="58" t="s">
        <v>53</v>
      </c>
      <c r="B15" s="59" t="s">
        <v>54</v>
      </c>
      <c r="C15" s="60" t="s">
        <v>55</v>
      </c>
      <c r="D15" s="61">
        <v>5.04</v>
      </c>
      <c r="E15" s="129">
        <v>315391.53816</v>
      </c>
      <c r="F15" s="175">
        <f>346286-F29-0.35</f>
        <v>315391.53828000004</v>
      </c>
      <c r="G15" s="56">
        <f t="shared" si="0"/>
        <v>-1.200000406242907E-4</v>
      </c>
      <c r="H15" s="56">
        <f t="shared" si="1"/>
        <v>0</v>
      </c>
      <c r="I15" s="56">
        <f t="shared" si="2"/>
        <v>53305.163200800009</v>
      </c>
      <c r="J15" s="56">
        <f t="shared" si="3"/>
        <v>20160</v>
      </c>
      <c r="K15" s="56">
        <f t="shared" si="4"/>
        <v>30753.928799999998</v>
      </c>
      <c r="L15" s="57">
        <f t="shared" si="5"/>
        <v>104219.09188079997</v>
      </c>
    </row>
    <row r="16" spans="1:15" x14ac:dyDescent="0.25">
      <c r="A16" s="58" t="s">
        <v>56</v>
      </c>
      <c r="B16" s="59" t="s">
        <v>57</v>
      </c>
      <c r="C16" s="60" t="s">
        <v>58</v>
      </c>
      <c r="D16" s="61">
        <v>5.21</v>
      </c>
      <c r="E16" s="129">
        <v>149035.48339000001</v>
      </c>
      <c r="F16" s="175">
        <f>E16</f>
        <v>149035.48339000001</v>
      </c>
      <c r="G16" s="56">
        <f t="shared" si="0"/>
        <v>0</v>
      </c>
      <c r="H16" s="56">
        <f t="shared" si="1"/>
        <v>0</v>
      </c>
      <c r="I16" s="56">
        <f t="shared" si="2"/>
        <v>55103.154816700007</v>
      </c>
      <c r="J16" s="56">
        <f t="shared" si="3"/>
        <v>20840</v>
      </c>
      <c r="K16" s="56">
        <f t="shared" si="4"/>
        <v>31791.2637</v>
      </c>
      <c r="L16" s="57">
        <f t="shared" si="5"/>
        <v>107734.41851670001</v>
      </c>
      <c r="M16" s="44"/>
    </row>
    <row r="17" spans="1:16" x14ac:dyDescent="0.25">
      <c r="A17" s="58" t="s">
        <v>59</v>
      </c>
      <c r="B17" s="59"/>
      <c r="C17" s="60" t="s">
        <v>60</v>
      </c>
      <c r="D17" s="61">
        <v>5.04</v>
      </c>
      <c r="E17" s="129">
        <v>253501.39815999998</v>
      </c>
      <c r="F17" s="175">
        <f>E17</f>
        <v>253501.39815999998</v>
      </c>
      <c r="G17" s="56">
        <f t="shared" si="0"/>
        <v>0</v>
      </c>
      <c r="H17" s="56">
        <f t="shared" si="1"/>
        <v>0</v>
      </c>
      <c r="I17" s="56">
        <f t="shared" si="2"/>
        <v>53305.163200800009</v>
      </c>
      <c r="J17" s="56">
        <f t="shared" si="3"/>
        <v>20160</v>
      </c>
      <c r="K17" s="56">
        <f t="shared" si="4"/>
        <v>30753.928799999998</v>
      </c>
      <c r="L17" s="57">
        <f t="shared" si="5"/>
        <v>104219.09200080001</v>
      </c>
    </row>
    <row r="18" spans="1:16" ht="23.25" customHeight="1" x14ac:dyDescent="0.25">
      <c r="A18" s="230" t="s">
        <v>61</v>
      </c>
      <c r="B18" s="231"/>
      <c r="C18" s="63" t="s">
        <v>62</v>
      </c>
      <c r="D18" s="181">
        <v>5.21</v>
      </c>
      <c r="E18" s="129">
        <v>262052.04419000002</v>
      </c>
      <c r="F18" s="175">
        <f>E18</f>
        <v>262052.04419000002</v>
      </c>
      <c r="G18" s="64">
        <f t="shared" si="0"/>
        <v>0</v>
      </c>
      <c r="H18" s="64">
        <f t="shared" si="1"/>
        <v>0</v>
      </c>
      <c r="I18" s="64">
        <f t="shared" si="2"/>
        <v>55103.154816700007</v>
      </c>
      <c r="J18" s="64">
        <f t="shared" si="3"/>
        <v>20840</v>
      </c>
      <c r="K18" s="64">
        <f t="shared" si="4"/>
        <v>31791.2637</v>
      </c>
      <c r="L18" s="182">
        <f t="shared" si="5"/>
        <v>107734.41851670001</v>
      </c>
      <c r="M18" s="235"/>
      <c r="N18" s="234"/>
      <c r="O18" s="233"/>
      <c r="P18" s="214"/>
    </row>
    <row r="19" spans="1:16" x14ac:dyDescent="0.25">
      <c r="A19" s="62" t="s">
        <v>63</v>
      </c>
      <c r="B19" s="205"/>
      <c r="C19" s="63" t="s">
        <v>64</v>
      </c>
      <c r="D19" s="181">
        <v>7.4</v>
      </c>
      <c r="E19" s="129">
        <v>211681.87660000002</v>
      </c>
      <c r="F19" s="175">
        <f>E19</f>
        <v>211681.87660000002</v>
      </c>
      <c r="G19" s="64">
        <f t="shared" si="0"/>
        <v>0</v>
      </c>
      <c r="H19" s="64">
        <f t="shared" si="1"/>
        <v>0</v>
      </c>
      <c r="I19" s="64">
        <f t="shared" si="2"/>
        <v>78265.517398000011</v>
      </c>
      <c r="J19" s="64">
        <f t="shared" si="3"/>
        <v>29600</v>
      </c>
      <c r="K19" s="64">
        <f t="shared" si="4"/>
        <v>45154.578000000001</v>
      </c>
      <c r="L19" s="182">
        <f t="shared" si="5"/>
        <v>153020.095398</v>
      </c>
    </row>
    <row r="20" spans="1:16" ht="24" x14ac:dyDescent="0.25">
      <c r="A20" s="190"/>
      <c r="B20" s="184" t="s">
        <v>99</v>
      </c>
      <c r="C20" s="185" t="s">
        <v>65</v>
      </c>
      <c r="D20" s="186">
        <v>1.08</v>
      </c>
      <c r="E20" s="187">
        <v>30894.111720000001</v>
      </c>
      <c r="F20" s="212">
        <f>E20</f>
        <v>30894.111720000001</v>
      </c>
      <c r="G20" s="188">
        <f t="shared" si="0"/>
        <v>0</v>
      </c>
      <c r="H20" s="188"/>
      <c r="I20" s="188">
        <f t="shared" si="2"/>
        <v>11422.534971600002</v>
      </c>
      <c r="J20" s="188">
        <f t="shared" si="3"/>
        <v>4320</v>
      </c>
      <c r="K20" s="188">
        <f t="shared" si="4"/>
        <v>6590.1275999999998</v>
      </c>
      <c r="L20" s="189">
        <f t="shared" si="5"/>
        <v>22332.662571600002</v>
      </c>
    </row>
    <row r="21" spans="1:16" x14ac:dyDescent="0.25">
      <c r="A21" s="62"/>
      <c r="B21" s="59" t="s">
        <v>57</v>
      </c>
      <c r="C21" s="63" t="s">
        <v>66</v>
      </c>
      <c r="D21" s="61">
        <v>1.08</v>
      </c>
      <c r="E21" s="129">
        <v>30894.111720000001</v>
      </c>
      <c r="F21" s="175">
        <f>E21</f>
        <v>30894.111720000001</v>
      </c>
      <c r="G21" s="56">
        <f t="shared" si="0"/>
        <v>0</v>
      </c>
      <c r="H21" s="56">
        <f t="shared" si="1"/>
        <v>0</v>
      </c>
      <c r="I21" s="56">
        <f t="shared" si="2"/>
        <v>11422.534971600002</v>
      </c>
      <c r="J21" s="56">
        <f t="shared" si="3"/>
        <v>4320</v>
      </c>
      <c r="K21" s="56">
        <f t="shared" si="4"/>
        <v>6590.1275999999998</v>
      </c>
      <c r="L21" s="57">
        <f t="shared" si="5"/>
        <v>22332.662571600002</v>
      </c>
    </row>
    <row r="22" spans="1:16" x14ac:dyDescent="0.25">
      <c r="A22" s="140"/>
      <c r="B22" s="141"/>
      <c r="C22" s="142" t="s">
        <v>67</v>
      </c>
      <c r="D22" s="143">
        <v>1.08</v>
      </c>
      <c r="E22" s="144">
        <v>231024.85812000002</v>
      </c>
      <c r="F22" s="179">
        <v>0</v>
      </c>
      <c r="G22" s="145">
        <f t="shared" si="0"/>
        <v>231024.85812000002</v>
      </c>
      <c r="H22" s="145">
        <f t="shared" si="1"/>
        <v>9240.9943248000018</v>
      </c>
      <c r="I22" s="145">
        <f t="shared" si="2"/>
        <v>11422.534971600002</v>
      </c>
      <c r="J22" s="145">
        <f t="shared" si="3"/>
        <v>4320</v>
      </c>
      <c r="K22" s="145">
        <f t="shared" si="4"/>
        <v>6590.1275999999998</v>
      </c>
      <c r="L22" s="146">
        <f t="shared" si="5"/>
        <v>262598.51501640002</v>
      </c>
    </row>
    <row r="23" spans="1:16" x14ac:dyDescent="0.25">
      <c r="A23" s="58"/>
      <c r="B23" s="59"/>
      <c r="C23" s="60" t="s">
        <v>68</v>
      </c>
      <c r="D23" s="61">
        <v>1.08</v>
      </c>
      <c r="E23" s="129">
        <v>30894.111720000001</v>
      </c>
      <c r="F23" s="175"/>
      <c r="G23" s="56">
        <f t="shared" si="0"/>
        <v>30894.111720000001</v>
      </c>
      <c r="H23" s="56">
        <f t="shared" si="1"/>
        <v>1235.7644688</v>
      </c>
      <c r="I23" s="56">
        <f t="shared" si="2"/>
        <v>11422.534971600002</v>
      </c>
      <c r="J23" s="56">
        <f t="shared" si="3"/>
        <v>4320</v>
      </c>
      <c r="K23" s="56">
        <f t="shared" si="4"/>
        <v>6590.1275999999998</v>
      </c>
      <c r="L23" s="57">
        <f t="shared" si="5"/>
        <v>54462.538760400006</v>
      </c>
    </row>
    <row r="24" spans="1:16" x14ac:dyDescent="0.25">
      <c r="A24" s="58" t="s">
        <v>49</v>
      </c>
      <c r="B24" s="59" t="s">
        <v>50</v>
      </c>
      <c r="C24" s="60" t="s">
        <v>69</v>
      </c>
      <c r="D24" s="61">
        <v>1.08</v>
      </c>
      <c r="E24" s="129">
        <v>30894.111720000001</v>
      </c>
      <c r="F24" s="175">
        <f t="shared" ref="F24" si="8">E24</f>
        <v>30894.111720000001</v>
      </c>
      <c r="G24" s="56">
        <f t="shared" si="0"/>
        <v>0</v>
      </c>
      <c r="H24" s="56">
        <f t="shared" si="1"/>
        <v>0</v>
      </c>
      <c r="I24" s="56">
        <f t="shared" si="2"/>
        <v>11422.534971600002</v>
      </c>
      <c r="J24" s="56">
        <f t="shared" si="3"/>
        <v>4320</v>
      </c>
      <c r="K24" s="56">
        <f t="shared" si="4"/>
        <v>6590.1275999999998</v>
      </c>
      <c r="L24" s="57">
        <f t="shared" si="5"/>
        <v>22332.662571600002</v>
      </c>
    </row>
    <row r="25" spans="1:16" x14ac:dyDescent="0.25">
      <c r="A25" s="58" t="s">
        <v>49</v>
      </c>
      <c r="B25" s="205" t="s">
        <v>106</v>
      </c>
      <c r="C25" s="60" t="s">
        <v>70</v>
      </c>
      <c r="D25" s="61">
        <v>1.08</v>
      </c>
      <c r="E25" s="129">
        <v>54321.723720000002</v>
      </c>
      <c r="F25" s="175"/>
      <c r="G25" s="56">
        <f t="shared" si="0"/>
        <v>54321.723720000002</v>
      </c>
      <c r="H25" s="56">
        <f t="shared" si="1"/>
        <v>2172.8689488</v>
      </c>
      <c r="I25" s="56">
        <f t="shared" si="2"/>
        <v>11422.534971600002</v>
      </c>
      <c r="J25" s="56">
        <f t="shared" si="3"/>
        <v>4320</v>
      </c>
      <c r="K25" s="56">
        <f t="shared" si="4"/>
        <v>6590.1275999999998</v>
      </c>
      <c r="L25" s="57">
        <f t="shared" si="5"/>
        <v>78827.255240400002</v>
      </c>
    </row>
    <row r="26" spans="1:16" x14ac:dyDescent="0.25">
      <c r="A26" s="58" t="s">
        <v>63</v>
      </c>
      <c r="B26" s="59"/>
      <c r="C26" s="60" t="s">
        <v>71</v>
      </c>
      <c r="D26" s="61">
        <v>1.08</v>
      </c>
      <c r="E26" s="129">
        <v>30894.111720000001</v>
      </c>
      <c r="F26" s="175">
        <f t="shared" ref="F26:F28" si="9">E26</f>
        <v>30894.111720000001</v>
      </c>
      <c r="G26" s="56">
        <f t="shared" si="0"/>
        <v>0</v>
      </c>
      <c r="H26" s="56">
        <f t="shared" si="1"/>
        <v>0</v>
      </c>
      <c r="I26" s="56">
        <f t="shared" si="2"/>
        <v>11422.534971600002</v>
      </c>
      <c r="J26" s="56">
        <f t="shared" si="3"/>
        <v>4320</v>
      </c>
      <c r="K26" s="56">
        <f t="shared" si="4"/>
        <v>6590.1275999999998</v>
      </c>
      <c r="L26" s="57">
        <f t="shared" si="5"/>
        <v>22332.662571600002</v>
      </c>
    </row>
    <row r="27" spans="1:16" x14ac:dyDescent="0.25">
      <c r="A27" s="58" t="s">
        <v>63</v>
      </c>
      <c r="B27" s="65"/>
      <c r="C27" s="60" t="s">
        <v>72</v>
      </c>
      <c r="D27" s="61">
        <v>1.08</v>
      </c>
      <c r="E27" s="129">
        <v>30894.111720000001</v>
      </c>
      <c r="F27" s="175">
        <f t="shared" si="9"/>
        <v>30894.111720000001</v>
      </c>
      <c r="G27" s="56">
        <f t="shared" si="0"/>
        <v>0</v>
      </c>
      <c r="H27" s="56">
        <f t="shared" si="1"/>
        <v>0</v>
      </c>
      <c r="I27" s="56">
        <f t="shared" si="2"/>
        <v>11422.534971600002</v>
      </c>
      <c r="J27" s="56">
        <f t="shared" si="3"/>
        <v>4320</v>
      </c>
      <c r="K27" s="56">
        <f t="shared" si="4"/>
        <v>6590.1275999999998</v>
      </c>
      <c r="L27" s="57">
        <f t="shared" si="5"/>
        <v>22332.662571600002</v>
      </c>
      <c r="O27" s="44">
        <f>F27+F26+F19</f>
        <v>273470.10004000005</v>
      </c>
    </row>
    <row r="28" spans="1:16" x14ac:dyDescent="0.25">
      <c r="A28" s="66"/>
      <c r="B28" s="65" t="str">
        <f>B7</f>
        <v>Leandro</v>
      </c>
      <c r="C28" s="60" t="s">
        <v>73</v>
      </c>
      <c r="D28" s="61">
        <v>1.08</v>
      </c>
      <c r="E28" s="129">
        <v>30894.111720000001</v>
      </c>
      <c r="F28" s="175">
        <f t="shared" si="9"/>
        <v>30894.111720000001</v>
      </c>
      <c r="G28" s="56">
        <f t="shared" si="0"/>
        <v>0</v>
      </c>
      <c r="H28" s="56">
        <f t="shared" si="1"/>
        <v>0</v>
      </c>
      <c r="I28" s="56">
        <f t="shared" si="2"/>
        <v>11422.534971600002</v>
      </c>
      <c r="J28" s="56">
        <f t="shared" si="3"/>
        <v>4320</v>
      </c>
      <c r="K28" s="56">
        <f t="shared" si="4"/>
        <v>6590.1275999999998</v>
      </c>
      <c r="L28" s="57">
        <f t="shared" si="5"/>
        <v>22332.662571600002</v>
      </c>
    </row>
    <row r="29" spans="1:16" x14ac:dyDescent="0.25">
      <c r="A29" s="66" t="s">
        <v>53</v>
      </c>
      <c r="B29" s="59" t="s">
        <v>54</v>
      </c>
      <c r="C29" s="60" t="s">
        <v>74</v>
      </c>
      <c r="D29" s="61">
        <v>1.08</v>
      </c>
      <c r="E29" s="129">
        <v>30894.111720000001</v>
      </c>
      <c r="F29" s="175">
        <f>E29</f>
        <v>30894.111720000001</v>
      </c>
      <c r="G29" s="56">
        <f t="shared" si="0"/>
        <v>0</v>
      </c>
      <c r="H29" s="56">
        <f t="shared" si="1"/>
        <v>0</v>
      </c>
      <c r="I29" s="56">
        <f t="shared" si="2"/>
        <v>11422.534971600002</v>
      </c>
      <c r="J29" s="56">
        <f t="shared" si="3"/>
        <v>4320</v>
      </c>
      <c r="K29" s="56">
        <f t="shared" si="4"/>
        <v>6590.1275999999998</v>
      </c>
      <c r="L29" s="57">
        <f t="shared" si="5"/>
        <v>22332.662571600002</v>
      </c>
    </row>
    <row r="30" spans="1:16" x14ac:dyDescent="0.25">
      <c r="A30" s="67"/>
      <c r="B30" s="67"/>
      <c r="C30" s="68"/>
      <c r="D30" s="68"/>
      <c r="E30" s="69"/>
      <c r="F30" s="69"/>
      <c r="G30" s="70"/>
      <c r="H30" s="70"/>
      <c r="I30" s="70"/>
      <c r="J30" s="71"/>
      <c r="K30" s="71"/>
      <c r="L30" s="71"/>
    </row>
    <row r="31" spans="1:16" x14ac:dyDescent="0.25">
      <c r="A31" s="72"/>
      <c r="B31" s="73"/>
      <c r="C31" s="74" t="s">
        <v>75</v>
      </c>
      <c r="D31" s="74">
        <f>SUM(D3:D30)</f>
        <v>99.999999999999986</v>
      </c>
      <c r="E31" s="73"/>
      <c r="F31" s="135">
        <f>SUM(F3:F30)</f>
        <v>2872567.6936899996</v>
      </c>
      <c r="G31" s="75"/>
      <c r="H31" s="75"/>
      <c r="I31" s="136">
        <f>SUM(I3:I30)</f>
        <v>1057642.1270000003</v>
      </c>
      <c r="J31" s="136">
        <f>SUM(J3:J30)</f>
        <v>400000</v>
      </c>
      <c r="K31" s="135"/>
      <c r="L31" s="135">
        <f>SUM(L3:L29)</f>
        <v>2965528.3114872011</v>
      </c>
    </row>
    <row r="32" spans="1:16" x14ac:dyDescent="0.25">
      <c r="J32" s="22"/>
    </row>
    <row r="33" spans="1:12" x14ac:dyDescent="0.25">
      <c r="A33" s="222" t="s">
        <v>112</v>
      </c>
      <c r="B33" s="222"/>
      <c r="C33" s="222"/>
      <c r="D33" s="222"/>
      <c r="E33" s="222"/>
      <c r="F33" s="222"/>
      <c r="G33" s="222"/>
      <c r="H33" s="222"/>
      <c r="I33" s="222"/>
      <c r="J33" s="222"/>
      <c r="K33" s="222"/>
      <c r="L33" s="222"/>
    </row>
    <row r="34" spans="1:12" x14ac:dyDescent="0.25">
      <c r="A34" s="222"/>
      <c r="B34" s="222"/>
      <c r="C34" s="222"/>
      <c r="D34" s="222"/>
      <c r="E34" s="222"/>
      <c r="F34" s="222"/>
      <c r="G34" s="222"/>
      <c r="H34" s="222"/>
      <c r="I34" s="222"/>
      <c r="J34" s="222"/>
      <c r="K34" s="222"/>
      <c r="L34" s="222"/>
    </row>
    <row r="35" spans="1:12" x14ac:dyDescent="0.25">
      <c r="A35" s="222"/>
      <c r="B35" s="222"/>
      <c r="C35" s="222"/>
      <c r="D35" s="222"/>
      <c r="E35" s="222"/>
      <c r="F35" s="222"/>
      <c r="G35" s="222"/>
      <c r="H35" s="222"/>
      <c r="I35" s="222"/>
      <c r="J35" s="222"/>
      <c r="K35" s="222"/>
      <c r="L35" s="222"/>
    </row>
    <row r="36" spans="1:12" x14ac:dyDescent="0.25">
      <c r="A36" s="222"/>
      <c r="B36" s="222"/>
      <c r="C36" s="222"/>
      <c r="D36" s="222"/>
      <c r="E36" s="222"/>
      <c r="F36" s="222"/>
      <c r="G36" s="222"/>
      <c r="H36" s="222"/>
      <c r="I36" s="222"/>
      <c r="J36" s="222"/>
      <c r="K36" s="222"/>
      <c r="L36" s="222"/>
    </row>
    <row r="40" spans="1:12" x14ac:dyDescent="0.25">
      <c r="E40" s="21"/>
    </row>
  </sheetData>
  <mergeCells count="5">
    <mergeCell ref="B1:C1"/>
    <mergeCell ref="A33:L36"/>
    <mergeCell ref="G1:H1"/>
    <mergeCell ref="I1:J1"/>
    <mergeCell ref="K1:L1"/>
  </mergeCells>
  <printOptions horizontalCentered="1" verticalCentered="1"/>
  <pageMargins left="0.19685039370078741" right="0.19685039370078741" top="0.19685039370078741" bottom="0.19685039370078741" header="0.31496062992125984" footer="0.31496062992125984"/>
  <pageSetup paperSize="9" scale="9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opLeftCell="C1" workbookViewId="0">
      <selection activeCell="C6" sqref="C6"/>
    </sheetView>
  </sheetViews>
  <sheetFormatPr baseColWidth="10" defaultRowHeight="15" x14ac:dyDescent="0.25"/>
  <cols>
    <col min="1" max="1" width="5" hidden="1" customWidth="1"/>
    <col min="2" max="2" width="8.28515625" hidden="1" customWidth="1"/>
    <col min="3" max="3" width="15.140625" customWidth="1"/>
    <col min="4" max="4" width="21.7109375" bestFit="1" customWidth="1"/>
    <col min="5" max="5" width="8.85546875" customWidth="1"/>
    <col min="6" max="6" width="16.42578125" hidden="1" customWidth="1"/>
    <col min="7" max="7" width="8.7109375" hidden="1" customWidth="1"/>
    <col min="8" max="8" width="12.5703125" hidden="1" customWidth="1"/>
    <col min="9" max="9" width="10.42578125" hidden="1" customWidth="1"/>
    <col min="10" max="10" width="11.140625" hidden="1" customWidth="1"/>
    <col min="11" max="11" width="13" hidden="1" customWidth="1"/>
    <col min="12" max="12" width="11.140625" hidden="1" customWidth="1"/>
    <col min="13" max="13" width="10.7109375" hidden="1" customWidth="1"/>
    <col min="14" max="14" width="12.85546875" customWidth="1"/>
    <col min="15" max="15" width="11.42578125" hidden="1" customWidth="1"/>
  </cols>
  <sheetData>
    <row r="1" spans="1:19" ht="21" customHeight="1" x14ac:dyDescent="0.25">
      <c r="A1" s="225" t="s">
        <v>77</v>
      </c>
      <c r="B1" s="226"/>
      <c r="C1" s="226"/>
      <c r="D1" s="226"/>
      <c r="E1" s="226"/>
      <c r="F1" s="226"/>
      <c r="G1" s="226"/>
      <c r="H1" s="226"/>
      <c r="I1" s="226"/>
      <c r="J1" s="226"/>
      <c r="K1" s="226"/>
      <c r="L1" s="226"/>
      <c r="M1" s="226"/>
      <c r="N1" s="227"/>
      <c r="O1" s="76"/>
    </row>
    <row r="2" spans="1:19" x14ac:dyDescent="0.25">
      <c r="A2" s="77"/>
      <c r="B2" s="77"/>
      <c r="C2" s="162"/>
      <c r="D2" s="162"/>
      <c r="E2" s="162"/>
      <c r="F2" s="162"/>
      <c r="G2" s="162"/>
      <c r="H2" s="163"/>
      <c r="I2" s="162"/>
      <c r="J2" s="162"/>
      <c r="K2" s="162"/>
      <c r="L2" s="162"/>
      <c r="M2" s="162"/>
      <c r="N2" s="162"/>
      <c r="O2" s="78"/>
      <c r="P2" s="11"/>
    </row>
    <row r="3" spans="1:19" x14ac:dyDescent="0.25">
      <c r="A3" s="80"/>
      <c r="B3" s="80"/>
      <c r="C3" s="164"/>
      <c r="D3" s="164"/>
      <c r="E3" s="164"/>
      <c r="F3" s="164"/>
      <c r="G3" s="164"/>
      <c r="H3" s="163"/>
      <c r="I3" s="162"/>
      <c r="J3" s="162"/>
      <c r="K3" s="162"/>
      <c r="L3" s="162"/>
      <c r="M3" s="162"/>
      <c r="N3" s="162"/>
      <c r="O3" s="78"/>
      <c r="P3" s="11"/>
    </row>
    <row r="4" spans="1:19" x14ac:dyDescent="0.25">
      <c r="A4" s="80"/>
      <c r="B4" s="80"/>
      <c r="C4" s="164"/>
      <c r="D4" s="164"/>
      <c r="E4" s="164"/>
      <c r="F4" s="164"/>
      <c r="G4" s="164"/>
      <c r="H4" s="163"/>
      <c r="I4" s="162" t="s">
        <v>76</v>
      </c>
      <c r="J4" s="162"/>
      <c r="K4" s="162"/>
      <c r="L4" s="162"/>
      <c r="M4" s="162"/>
      <c r="N4" s="162"/>
      <c r="O4" s="78"/>
      <c r="P4" s="11"/>
    </row>
    <row r="5" spans="1:19" x14ac:dyDescent="0.25">
      <c r="A5" s="80"/>
      <c r="B5" s="80"/>
      <c r="C5" s="164"/>
      <c r="D5" s="164"/>
      <c r="E5" s="164"/>
      <c r="F5" s="164"/>
      <c r="G5" s="164"/>
      <c r="H5" s="163"/>
      <c r="I5" s="162"/>
      <c r="J5" s="162"/>
      <c r="K5" s="162"/>
      <c r="L5" s="162"/>
      <c r="M5" s="162"/>
      <c r="N5" s="162"/>
      <c r="O5" s="78"/>
      <c r="P5" s="11"/>
    </row>
    <row r="6" spans="1:19" x14ac:dyDescent="0.25">
      <c r="A6" s="80"/>
      <c r="B6" s="80"/>
      <c r="C6" s="244" t="str">
        <f>'detalle y gastos'!C7</f>
        <v>Vto. 14/11</v>
      </c>
      <c r="D6" s="28"/>
      <c r="E6" s="162"/>
      <c r="F6" s="162"/>
      <c r="G6" s="162"/>
      <c r="H6" s="163"/>
      <c r="I6" s="162"/>
      <c r="J6" s="162"/>
      <c r="K6" s="162"/>
      <c r="L6" s="162"/>
      <c r="M6" s="162"/>
      <c r="N6" s="162"/>
      <c r="O6" s="78"/>
      <c r="P6" s="11"/>
    </row>
    <row r="7" spans="1:19" ht="19.5" customHeight="1" x14ac:dyDescent="0.25">
      <c r="A7" s="81"/>
      <c r="B7" s="81" t="s">
        <v>77</v>
      </c>
      <c r="C7" s="213">
        <v>696052.93</v>
      </c>
      <c r="D7" s="28"/>
      <c r="E7" s="162"/>
      <c r="F7" s="162" t="s">
        <v>93</v>
      </c>
      <c r="G7" s="162"/>
      <c r="H7" s="163"/>
      <c r="I7" s="162"/>
      <c r="J7" s="162" t="str">
        <f>'detalle y gastos'!C7</f>
        <v>Vto. 14/11</v>
      </c>
      <c r="K7" s="162"/>
      <c r="L7" s="162"/>
      <c r="M7" s="162"/>
      <c r="N7" s="162"/>
      <c r="O7" s="78"/>
      <c r="P7" s="11"/>
    </row>
    <row r="8" spans="1:19" hidden="1" x14ac:dyDescent="0.25">
      <c r="A8" s="81"/>
      <c r="B8" s="80" t="s">
        <v>77</v>
      </c>
      <c r="C8" s="85"/>
      <c r="E8" s="82"/>
      <c r="F8" s="82"/>
      <c r="G8" s="82"/>
      <c r="H8" s="83"/>
      <c r="I8" s="82"/>
      <c r="J8" s="78"/>
      <c r="K8" s="86">
        <f>C8-J38</f>
        <v>-329579.71031000023</v>
      </c>
      <c r="L8" s="229">
        <f>C7-J38</f>
        <v>366473.21968999982</v>
      </c>
      <c r="M8" s="229"/>
      <c r="N8" s="84"/>
      <c r="O8" s="78"/>
      <c r="P8" s="11"/>
    </row>
    <row r="9" spans="1:19" ht="28.5" customHeight="1" x14ac:dyDescent="0.25">
      <c r="A9" s="87" t="s">
        <v>78</v>
      </c>
      <c r="B9" s="87" t="s">
        <v>78</v>
      </c>
      <c r="C9" s="119" t="s">
        <v>79</v>
      </c>
      <c r="D9" s="120" t="s">
        <v>80</v>
      </c>
      <c r="E9" s="120" t="s">
        <v>1</v>
      </c>
      <c r="F9" s="118" t="s">
        <v>81</v>
      </c>
      <c r="G9" s="118" t="s">
        <v>82</v>
      </c>
      <c r="H9" s="121" t="s">
        <v>85</v>
      </c>
      <c r="I9" s="122" t="s">
        <v>83</v>
      </c>
      <c r="J9" s="123" t="s">
        <v>77</v>
      </c>
      <c r="K9" s="124" t="s">
        <v>84</v>
      </c>
      <c r="L9" s="124" t="s">
        <v>84</v>
      </c>
      <c r="M9" s="125" t="s">
        <v>85</v>
      </c>
      <c r="N9" s="118" t="s">
        <v>86</v>
      </c>
      <c r="P9" s="11"/>
    </row>
    <row r="10" spans="1:19" x14ac:dyDescent="0.25">
      <c r="A10" s="98">
        <v>1</v>
      </c>
      <c r="B10" s="88">
        <v>1</v>
      </c>
      <c r="C10" s="115" t="s">
        <v>32</v>
      </c>
      <c r="D10" s="100" t="s">
        <v>31</v>
      </c>
      <c r="E10" s="101">
        <v>5.1100000000000003</v>
      </c>
      <c r="F10" s="103">
        <v>4075</v>
      </c>
      <c r="G10" s="103">
        <v>4302.83</v>
      </c>
      <c r="H10" s="104">
        <f>G10-F10</f>
        <v>227.82999999999993</v>
      </c>
      <c r="I10" s="105">
        <f t="shared" ref="I10:I37" si="0">H10*7%</f>
        <v>15.948099999999997</v>
      </c>
      <c r="J10" s="116">
        <f>M10*93.787</f>
        <v>21367.492209999993</v>
      </c>
      <c r="K10" s="106">
        <f>K8*E10%</f>
        <v>-16841.523196841015</v>
      </c>
      <c r="L10" s="127">
        <f>L$8*E10/S$12</f>
        <v>18726.781526158993</v>
      </c>
      <c r="M10" s="107">
        <f>G10-F10</f>
        <v>227.82999999999993</v>
      </c>
      <c r="N10" s="104">
        <f>J10+L10</f>
        <v>40094.273736158983</v>
      </c>
      <c r="O10" s="97">
        <f>N10+'prorrateo '!L3</f>
        <v>145599.85312585899</v>
      </c>
      <c r="P10" s="11"/>
    </row>
    <row r="11" spans="1:19" x14ac:dyDescent="0.25">
      <c r="A11" s="99">
        <v>2</v>
      </c>
      <c r="B11" s="89">
        <v>2</v>
      </c>
      <c r="C11" s="115" t="s">
        <v>34</v>
      </c>
      <c r="D11" s="100" t="s">
        <v>33</v>
      </c>
      <c r="E11" s="101">
        <v>5.09</v>
      </c>
      <c r="F11" s="103">
        <v>3872.9</v>
      </c>
      <c r="G11" s="103">
        <v>4106.5</v>
      </c>
      <c r="H11" s="104">
        <f t="shared" ref="H11:H27" si="1">G11-F11</f>
        <v>233.59999999999991</v>
      </c>
      <c r="I11" s="105">
        <f t="shared" si="0"/>
        <v>16.351999999999997</v>
      </c>
      <c r="J11" s="116">
        <f t="shared" ref="J11:J26" si="2">M11*93.787</f>
        <v>21908.643199999991</v>
      </c>
      <c r="K11" s="106">
        <f>K8*E11%</f>
        <v>-16775.607254779014</v>
      </c>
      <c r="L11" s="127">
        <f t="shared" ref="L11:L36" si="3">L$8*E11/S$12</f>
        <v>18653.48688222099</v>
      </c>
      <c r="M11" s="107">
        <f t="shared" ref="M11:M26" si="4">G11-F11</f>
        <v>233.59999999999991</v>
      </c>
      <c r="N11" s="104">
        <f t="shared" ref="N11:N25" si="5">J11+L11</f>
        <v>40562.130082220981</v>
      </c>
      <c r="O11" s="97">
        <f>N11+'prorrateo '!L4</f>
        <v>145081.14164652099</v>
      </c>
      <c r="P11" s="11"/>
    </row>
    <row r="12" spans="1:19" ht="16.5" customHeight="1" x14ac:dyDescent="0.25">
      <c r="A12" s="98">
        <v>3</v>
      </c>
      <c r="B12" s="89">
        <v>3</v>
      </c>
      <c r="C12" s="115" t="s">
        <v>36</v>
      </c>
      <c r="D12" s="100" t="s">
        <v>35</v>
      </c>
      <c r="E12" s="101">
        <v>5.04</v>
      </c>
      <c r="F12" s="103">
        <v>1424.1</v>
      </c>
      <c r="G12" s="103">
        <v>1558.7</v>
      </c>
      <c r="H12" s="104">
        <f t="shared" si="1"/>
        <v>134.60000000000014</v>
      </c>
      <c r="I12" s="105">
        <f t="shared" si="0"/>
        <v>9.4220000000000113</v>
      </c>
      <c r="J12" s="116">
        <f t="shared" si="2"/>
        <v>12623.730200000015</v>
      </c>
      <c r="K12" s="106">
        <f>K8*E12%</f>
        <v>-16610.817399624011</v>
      </c>
      <c r="L12" s="127">
        <f t="shared" si="3"/>
        <v>18470.25027237599</v>
      </c>
      <c r="M12" s="107">
        <f>G12-F12</f>
        <v>134.60000000000014</v>
      </c>
      <c r="N12" s="104">
        <f t="shared" si="5"/>
        <v>31093.980472376003</v>
      </c>
      <c r="O12" s="97">
        <f>N12+'prorrateo '!L5</f>
        <v>438749.98678357602</v>
      </c>
      <c r="P12" s="11"/>
      <c r="S12">
        <v>100</v>
      </c>
    </row>
    <row r="13" spans="1:19" x14ac:dyDescent="0.25">
      <c r="A13" s="98">
        <v>4</v>
      </c>
      <c r="B13" s="89" t="s">
        <v>87</v>
      </c>
      <c r="C13" s="165" t="s">
        <v>38</v>
      </c>
      <c r="D13" s="100" t="s">
        <v>37</v>
      </c>
      <c r="E13" s="166">
        <v>5.21</v>
      </c>
      <c r="F13" s="103">
        <v>1058.9000000000001</v>
      </c>
      <c r="G13" s="236">
        <v>1204.5999999999999</v>
      </c>
      <c r="H13" s="104">
        <f t="shared" si="1"/>
        <v>145.69999999999982</v>
      </c>
      <c r="I13" s="167">
        <f t="shared" si="0"/>
        <v>10.198999999999987</v>
      </c>
      <c r="J13" s="116">
        <f t="shared" si="2"/>
        <v>13664.765899999984</v>
      </c>
      <c r="K13" s="168">
        <f>K8*E13%</f>
        <v>-17171.102907151013</v>
      </c>
      <c r="L13" s="127">
        <f t="shared" si="3"/>
        <v>19093.25474584899</v>
      </c>
      <c r="M13" s="169">
        <f t="shared" si="4"/>
        <v>145.69999999999982</v>
      </c>
      <c r="N13" s="104">
        <f t="shared" si="5"/>
        <v>32758.020645848974</v>
      </c>
      <c r="O13" s="97">
        <f>N13+'prorrateo '!L6</f>
        <v>140492.43916254898</v>
      </c>
      <c r="P13" s="11"/>
    </row>
    <row r="14" spans="1:19" x14ac:dyDescent="0.25">
      <c r="A14" s="98">
        <v>6</v>
      </c>
      <c r="B14" s="89">
        <v>6</v>
      </c>
      <c r="C14" s="115" t="s">
        <v>39</v>
      </c>
      <c r="D14" s="100" t="s">
        <v>35</v>
      </c>
      <c r="E14" s="101">
        <v>5.1100000000000003</v>
      </c>
      <c r="F14" s="103">
        <v>1645.5</v>
      </c>
      <c r="G14" s="236">
        <v>1814</v>
      </c>
      <c r="H14" s="104">
        <f t="shared" si="1"/>
        <v>168.5</v>
      </c>
      <c r="I14" s="105">
        <f t="shared" si="0"/>
        <v>11.795000000000002</v>
      </c>
      <c r="J14" s="116">
        <f t="shared" si="2"/>
        <v>15803.1095</v>
      </c>
      <c r="K14" s="106">
        <f>K8*E14%</f>
        <v>-16841.523196841015</v>
      </c>
      <c r="L14" s="127">
        <f t="shared" si="3"/>
        <v>18726.781526158993</v>
      </c>
      <c r="M14" s="107">
        <f t="shared" si="4"/>
        <v>168.5</v>
      </c>
      <c r="N14" s="104">
        <f t="shared" si="5"/>
        <v>34529.891026158992</v>
      </c>
      <c r="O14" s="97">
        <f>N14+'prorrateo '!L7</f>
        <v>140196.47041585902</v>
      </c>
      <c r="P14" s="11"/>
    </row>
    <row r="15" spans="1:19" x14ac:dyDescent="0.25">
      <c r="A15" s="98">
        <v>7</v>
      </c>
      <c r="B15" s="89">
        <v>7</v>
      </c>
      <c r="C15" s="115" t="s">
        <v>41</v>
      </c>
      <c r="D15" s="100" t="s">
        <v>40</v>
      </c>
      <c r="E15" s="101">
        <v>5.09</v>
      </c>
      <c r="F15" s="103">
        <v>2836.9</v>
      </c>
      <c r="G15" s="103">
        <v>3018</v>
      </c>
      <c r="H15" s="104">
        <f t="shared" si="1"/>
        <v>181.09999999999991</v>
      </c>
      <c r="I15" s="105">
        <f t="shared" si="0"/>
        <v>12.676999999999994</v>
      </c>
      <c r="J15" s="116">
        <f t="shared" si="2"/>
        <v>16984.825699999994</v>
      </c>
      <c r="K15" s="106">
        <f>K8*E15%</f>
        <v>-16775.607254779014</v>
      </c>
      <c r="L15" s="127">
        <f t="shared" si="3"/>
        <v>18653.48688222099</v>
      </c>
      <c r="M15" s="107">
        <f t="shared" si="4"/>
        <v>181.09999999999991</v>
      </c>
      <c r="N15" s="104">
        <f t="shared" si="5"/>
        <v>35638.312582220984</v>
      </c>
      <c r="O15" s="97">
        <f>N15+'prorrateo '!L8</f>
        <v>140891.32414652099</v>
      </c>
    </row>
    <row r="16" spans="1:19" x14ac:dyDescent="0.25">
      <c r="A16" s="98">
        <v>8</v>
      </c>
      <c r="B16" s="89">
        <v>8</v>
      </c>
      <c r="C16" s="115" t="s">
        <v>43</v>
      </c>
      <c r="D16" s="100" t="s">
        <v>42</v>
      </c>
      <c r="E16" s="101">
        <v>5.1100000000000003</v>
      </c>
      <c r="F16" s="103">
        <v>2327.4</v>
      </c>
      <c r="G16" s="103">
        <v>2516.4</v>
      </c>
      <c r="H16" s="104">
        <f t="shared" si="1"/>
        <v>189</v>
      </c>
      <c r="I16" s="105">
        <f t="shared" si="0"/>
        <v>13.23</v>
      </c>
      <c r="J16" s="116">
        <f t="shared" si="2"/>
        <v>17725.743000000002</v>
      </c>
      <c r="K16" s="106">
        <f>K8*E16%</f>
        <v>-16841.523196841015</v>
      </c>
      <c r="L16" s="127">
        <f t="shared" si="3"/>
        <v>18726.781526158993</v>
      </c>
      <c r="M16" s="107">
        <f t="shared" si="4"/>
        <v>189</v>
      </c>
      <c r="N16" s="104">
        <f t="shared" si="5"/>
        <v>36452.524526158995</v>
      </c>
      <c r="O16" s="97">
        <f>N16+'prorrateo '!L9</f>
        <v>142119.10391585901</v>
      </c>
    </row>
    <row r="17" spans="1:15" x14ac:dyDescent="0.25">
      <c r="A17" s="98">
        <v>9</v>
      </c>
      <c r="B17" s="89">
        <v>9</v>
      </c>
      <c r="C17" s="191" t="s">
        <v>45</v>
      </c>
      <c r="D17" s="192" t="s">
        <v>44</v>
      </c>
      <c r="E17" s="193">
        <v>5.09</v>
      </c>
      <c r="F17" s="195">
        <v>3314.7</v>
      </c>
      <c r="G17" s="195">
        <v>3375.8</v>
      </c>
      <c r="H17" s="196">
        <f t="shared" si="1"/>
        <v>61.100000000000364</v>
      </c>
      <c r="I17" s="197">
        <f t="shared" si="0"/>
        <v>4.2770000000000259</v>
      </c>
      <c r="J17" s="198">
        <f t="shared" si="2"/>
        <v>5730.3857000000344</v>
      </c>
      <c r="K17" s="199">
        <f>K8*E17%</f>
        <v>-16775.607254779014</v>
      </c>
      <c r="L17" s="200">
        <f t="shared" si="3"/>
        <v>18653.48688222099</v>
      </c>
      <c r="M17" s="201">
        <f t="shared" si="4"/>
        <v>61.100000000000364</v>
      </c>
      <c r="N17" s="196">
        <f t="shared" si="5"/>
        <v>24383.872582221025</v>
      </c>
      <c r="O17" s="97">
        <f>N17+'prorrateo '!L10</f>
        <v>129636.88414652103</v>
      </c>
    </row>
    <row r="18" spans="1:15" x14ac:dyDescent="0.25">
      <c r="A18" s="98">
        <v>10</v>
      </c>
      <c r="B18" s="89">
        <v>10</v>
      </c>
      <c r="C18" s="115" t="s">
        <v>46</v>
      </c>
      <c r="D18" s="100" t="s">
        <v>95</v>
      </c>
      <c r="E18" s="101">
        <v>5.04</v>
      </c>
      <c r="F18" s="103">
        <v>2080.5</v>
      </c>
      <c r="G18" s="103">
        <v>2270.5</v>
      </c>
      <c r="H18" s="104">
        <f t="shared" si="1"/>
        <v>190</v>
      </c>
      <c r="I18" s="105">
        <f t="shared" si="0"/>
        <v>13.3</v>
      </c>
      <c r="J18" s="116">
        <f t="shared" si="2"/>
        <v>17819.530000000002</v>
      </c>
      <c r="K18" s="106">
        <f>K8*E18%</f>
        <v>-16610.817399624011</v>
      </c>
      <c r="L18" s="127">
        <f t="shared" si="3"/>
        <v>18470.25027237599</v>
      </c>
      <c r="M18" s="107">
        <f t="shared" si="4"/>
        <v>190</v>
      </c>
      <c r="N18" s="104">
        <f t="shared" si="5"/>
        <v>36289.780272375996</v>
      </c>
      <c r="O18" s="97">
        <f>N18+'prorrateo '!L11</f>
        <v>140508.87227317601</v>
      </c>
    </row>
    <row r="19" spans="1:15" ht="15" customHeight="1" x14ac:dyDescent="0.25">
      <c r="A19" s="98">
        <v>11</v>
      </c>
      <c r="B19" s="89">
        <v>11</v>
      </c>
      <c r="C19" s="115" t="s">
        <v>48</v>
      </c>
      <c r="D19" s="108" t="s">
        <v>47</v>
      </c>
      <c r="E19" s="101">
        <v>5.21</v>
      </c>
      <c r="F19" s="103">
        <v>3819.2</v>
      </c>
      <c r="G19" s="103">
        <v>4351.6000000000004</v>
      </c>
      <c r="H19" s="104">
        <f t="shared" si="1"/>
        <v>532.40000000000055</v>
      </c>
      <c r="I19" s="105">
        <f t="shared" si="0"/>
        <v>37.268000000000043</v>
      </c>
      <c r="J19" s="116">
        <f t="shared" si="2"/>
        <v>49932.198800000057</v>
      </c>
      <c r="K19" s="106">
        <f>K8*E19%</f>
        <v>-17171.102907151013</v>
      </c>
      <c r="L19" s="127">
        <f t="shared" si="3"/>
        <v>19093.25474584899</v>
      </c>
      <c r="M19" s="107">
        <f>G19-F19</f>
        <v>532.40000000000055</v>
      </c>
      <c r="N19" s="104">
        <f t="shared" si="5"/>
        <v>69025.453545849043</v>
      </c>
      <c r="O19" s="97">
        <f>N19+'prorrateo '!L12</f>
        <v>176759.87206254905</v>
      </c>
    </row>
    <row r="20" spans="1:15" ht="15" customHeight="1" x14ac:dyDescent="0.25">
      <c r="A20" s="98">
        <v>12</v>
      </c>
      <c r="B20" s="89">
        <v>12</v>
      </c>
      <c r="C20" s="115" t="s">
        <v>51</v>
      </c>
      <c r="D20" s="108" t="s">
        <v>49</v>
      </c>
      <c r="E20" s="101">
        <v>5.1100000000000003</v>
      </c>
      <c r="F20" s="103">
        <v>5380.5</v>
      </c>
      <c r="G20" s="103">
        <v>5489.3</v>
      </c>
      <c r="H20" s="104">
        <f t="shared" si="1"/>
        <v>108.80000000000018</v>
      </c>
      <c r="I20" s="105">
        <f t="shared" si="0"/>
        <v>7.6160000000000139</v>
      </c>
      <c r="J20" s="116">
        <f t="shared" si="2"/>
        <v>10204.025600000017</v>
      </c>
      <c r="K20" s="106">
        <f>K8*E20%</f>
        <v>-16841.523196841015</v>
      </c>
      <c r="L20" s="127">
        <f t="shared" si="3"/>
        <v>18726.781526158993</v>
      </c>
      <c r="M20" s="107">
        <f t="shared" si="4"/>
        <v>108.80000000000018</v>
      </c>
      <c r="N20" s="104">
        <f t="shared" si="5"/>
        <v>28930.807126159008</v>
      </c>
      <c r="O20" s="97">
        <f>N20+'prorrateo '!L13</f>
        <v>134597.38651585902</v>
      </c>
    </row>
    <row r="21" spans="1:15" x14ac:dyDescent="0.25">
      <c r="A21" s="98">
        <v>13</v>
      </c>
      <c r="B21" s="89">
        <v>13</v>
      </c>
      <c r="C21" s="237" t="s">
        <v>52</v>
      </c>
      <c r="D21" s="238" t="s">
        <v>49</v>
      </c>
      <c r="E21" s="239">
        <v>5.09</v>
      </c>
      <c r="F21" s="240">
        <v>3851</v>
      </c>
      <c r="G21" s="240">
        <v>4112.1000000000004</v>
      </c>
      <c r="H21" s="148">
        <f t="shared" si="1"/>
        <v>261.10000000000036</v>
      </c>
      <c r="I21" s="241">
        <f t="shared" si="0"/>
        <v>18.277000000000026</v>
      </c>
      <c r="J21" s="242">
        <f t="shared" si="2"/>
        <v>24487.785700000037</v>
      </c>
      <c r="K21" s="149">
        <f>K8*E21%</f>
        <v>-16775.607254779014</v>
      </c>
      <c r="L21" s="150">
        <f t="shared" si="3"/>
        <v>18653.48688222099</v>
      </c>
      <c r="M21" s="151">
        <f t="shared" si="4"/>
        <v>261.10000000000036</v>
      </c>
      <c r="N21" s="148">
        <f t="shared" si="5"/>
        <v>43141.272582221027</v>
      </c>
      <c r="O21" s="97">
        <f>N21+'prorrateo '!L14</f>
        <v>414651.23314092105</v>
      </c>
    </row>
    <row r="22" spans="1:15" x14ac:dyDescent="0.25">
      <c r="A22" s="98">
        <v>14</v>
      </c>
      <c r="B22" s="89">
        <v>14</v>
      </c>
      <c r="C22" s="115" t="s">
        <v>55</v>
      </c>
      <c r="D22" s="100" t="s">
        <v>53</v>
      </c>
      <c r="E22" s="101">
        <v>5.04</v>
      </c>
      <c r="F22" s="103">
        <v>2333</v>
      </c>
      <c r="G22" s="103">
        <v>2441.5</v>
      </c>
      <c r="H22" s="104">
        <f t="shared" si="1"/>
        <v>108.5</v>
      </c>
      <c r="I22" s="105">
        <f t="shared" si="0"/>
        <v>7.5950000000000006</v>
      </c>
      <c r="J22" s="116">
        <f t="shared" si="2"/>
        <v>10175.889500000001</v>
      </c>
      <c r="K22" s="106">
        <f>K8*E22%</f>
        <v>-16610.817399624011</v>
      </c>
      <c r="L22" s="127">
        <f t="shared" si="3"/>
        <v>18470.25027237599</v>
      </c>
      <c r="M22" s="107">
        <f t="shared" si="4"/>
        <v>108.5</v>
      </c>
      <c r="N22" s="104">
        <f t="shared" si="5"/>
        <v>28646.139772375991</v>
      </c>
      <c r="O22" s="97">
        <f>N22+'prorrateo '!L15</f>
        <v>132865.23165317596</v>
      </c>
    </row>
    <row r="23" spans="1:15" x14ac:dyDescent="0.25">
      <c r="A23" s="98">
        <v>15</v>
      </c>
      <c r="B23" s="89">
        <v>15</v>
      </c>
      <c r="C23" s="115" t="s">
        <v>58</v>
      </c>
      <c r="D23" s="100" t="s">
        <v>56</v>
      </c>
      <c r="E23" s="101">
        <v>5.21</v>
      </c>
      <c r="F23" s="103">
        <v>4630.6000000000004</v>
      </c>
      <c r="G23" s="103">
        <v>4886.6000000000004</v>
      </c>
      <c r="H23" s="104">
        <f t="shared" si="1"/>
        <v>256</v>
      </c>
      <c r="I23" s="105">
        <f t="shared" si="0"/>
        <v>17.920000000000002</v>
      </c>
      <c r="J23" s="116">
        <f t="shared" si="2"/>
        <v>24009.472000000002</v>
      </c>
      <c r="K23" s="106">
        <f>K8*E23%</f>
        <v>-17171.102907151013</v>
      </c>
      <c r="L23" s="127">
        <f t="shared" si="3"/>
        <v>19093.25474584899</v>
      </c>
      <c r="M23" s="107">
        <f t="shared" si="4"/>
        <v>256</v>
      </c>
      <c r="N23" s="104">
        <f t="shared" si="5"/>
        <v>43102.726745848995</v>
      </c>
      <c r="O23" s="97">
        <f>N23+'prorrateo '!L16</f>
        <v>150837.14526254899</v>
      </c>
    </row>
    <row r="24" spans="1:15" x14ac:dyDescent="0.25">
      <c r="A24" s="98">
        <v>16</v>
      </c>
      <c r="B24" s="89">
        <v>16</v>
      </c>
      <c r="C24" s="115" t="s">
        <v>60</v>
      </c>
      <c r="D24" s="100" t="s">
        <v>59</v>
      </c>
      <c r="E24" s="101">
        <v>5.04</v>
      </c>
      <c r="F24" s="103">
        <v>1675.8</v>
      </c>
      <c r="G24" s="103">
        <v>1776.7</v>
      </c>
      <c r="H24" s="104">
        <f t="shared" si="1"/>
        <v>100.90000000000009</v>
      </c>
      <c r="I24" s="105">
        <f t="shared" si="0"/>
        <v>7.0630000000000068</v>
      </c>
      <c r="J24" s="116">
        <f t="shared" si="2"/>
        <v>9463.108300000009</v>
      </c>
      <c r="K24" s="106">
        <f>K8*E24%</f>
        <v>-16610.817399624011</v>
      </c>
      <c r="L24" s="127">
        <f t="shared" si="3"/>
        <v>18470.25027237599</v>
      </c>
      <c r="M24" s="107">
        <f t="shared" si="4"/>
        <v>100.90000000000009</v>
      </c>
      <c r="N24" s="104">
        <f t="shared" si="5"/>
        <v>27933.358572375997</v>
      </c>
      <c r="O24" s="97">
        <f>N24+'prorrateo '!L17</f>
        <v>132152.450573176</v>
      </c>
    </row>
    <row r="25" spans="1:15" x14ac:dyDescent="0.25">
      <c r="A25" s="98">
        <v>17</v>
      </c>
      <c r="B25" s="89">
        <v>17</v>
      </c>
      <c r="C25" s="115" t="s">
        <v>62</v>
      </c>
      <c r="D25" s="100" t="s">
        <v>61</v>
      </c>
      <c r="E25" s="101">
        <v>5.21</v>
      </c>
      <c r="F25" s="103">
        <v>1689</v>
      </c>
      <c r="G25" s="103">
        <v>1869.3</v>
      </c>
      <c r="H25" s="104">
        <f t="shared" si="1"/>
        <v>180.29999999999995</v>
      </c>
      <c r="I25" s="105">
        <f t="shared" si="0"/>
        <v>12.620999999999999</v>
      </c>
      <c r="J25" s="116">
        <f t="shared" si="2"/>
        <v>16909.796099999996</v>
      </c>
      <c r="K25" s="106">
        <f>K8*E25%</f>
        <v>-17171.102907151013</v>
      </c>
      <c r="L25" s="127">
        <f t="shared" si="3"/>
        <v>19093.25474584899</v>
      </c>
      <c r="M25" s="107">
        <f t="shared" si="4"/>
        <v>180.29999999999995</v>
      </c>
      <c r="N25" s="104">
        <f t="shared" si="5"/>
        <v>36003.050845848986</v>
      </c>
      <c r="O25" s="97">
        <f>N25+'prorrateo '!L18</f>
        <v>143737.46936254899</v>
      </c>
    </row>
    <row r="26" spans="1:15" x14ac:dyDescent="0.25">
      <c r="A26" s="98">
        <v>18</v>
      </c>
      <c r="B26" s="89">
        <v>18</v>
      </c>
      <c r="C26" s="115" t="s">
        <v>64</v>
      </c>
      <c r="D26" s="100" t="s">
        <v>63</v>
      </c>
      <c r="E26" s="101">
        <v>7.4</v>
      </c>
      <c r="F26" s="103">
        <v>8479.7999999999993</v>
      </c>
      <c r="G26" s="103">
        <v>8914.5</v>
      </c>
      <c r="H26" s="104">
        <f t="shared" si="1"/>
        <v>434.70000000000073</v>
      </c>
      <c r="I26" s="105">
        <f t="shared" si="0"/>
        <v>30.429000000000055</v>
      </c>
      <c r="J26" s="116">
        <f t="shared" si="2"/>
        <v>40769.208900000071</v>
      </c>
      <c r="K26" s="106">
        <f>K8*E26%</f>
        <v>-24388.898562940019</v>
      </c>
      <c r="L26" s="127">
        <f t="shared" si="3"/>
        <v>27119.01825705999</v>
      </c>
      <c r="M26" s="107">
        <f t="shared" si="4"/>
        <v>434.70000000000073</v>
      </c>
      <c r="N26" s="104">
        <f>J26+L26</f>
        <v>67888.227157060057</v>
      </c>
      <c r="O26" s="97">
        <f>N26+'prorrateo '!L19</f>
        <v>220908.32255506006</v>
      </c>
    </row>
    <row r="27" spans="1:15" ht="14.25" customHeight="1" x14ac:dyDescent="0.25">
      <c r="A27" s="98">
        <v>19</v>
      </c>
      <c r="B27" s="90">
        <v>19</v>
      </c>
      <c r="C27" s="202" t="s">
        <v>65</v>
      </c>
      <c r="D27" s="203"/>
      <c r="E27" s="204">
        <v>1.08</v>
      </c>
      <c r="F27" s="194"/>
      <c r="G27" s="195"/>
      <c r="H27" s="196">
        <f t="shared" si="1"/>
        <v>0</v>
      </c>
      <c r="I27" s="197">
        <f t="shared" si="0"/>
        <v>0</v>
      </c>
      <c r="J27" s="198"/>
      <c r="K27" s="199"/>
      <c r="L27" s="200">
        <f t="shared" si="3"/>
        <v>3957.9107726519987</v>
      </c>
      <c r="M27" s="201">
        <v>0</v>
      </c>
      <c r="N27" s="196">
        <f t="shared" ref="N27:N37" si="6">J27+L27</f>
        <v>3957.9107726519987</v>
      </c>
      <c r="O27" s="97">
        <f>N27+'prorrateo '!L20</f>
        <v>26290.573344252</v>
      </c>
    </row>
    <row r="28" spans="1:15" x14ac:dyDescent="0.25">
      <c r="A28" s="98">
        <v>20</v>
      </c>
      <c r="B28" s="90"/>
      <c r="C28" s="170" t="s">
        <v>66</v>
      </c>
      <c r="D28" s="102"/>
      <c r="E28" s="102">
        <v>1.08</v>
      </c>
      <c r="F28" s="102"/>
      <c r="G28" s="102"/>
      <c r="H28" s="104">
        <v>0</v>
      </c>
      <c r="I28" s="171">
        <f t="shared" si="0"/>
        <v>0</v>
      </c>
      <c r="J28" s="172"/>
      <c r="K28" s="106"/>
      <c r="L28" s="127">
        <f t="shared" si="3"/>
        <v>3957.9107726519987</v>
      </c>
      <c r="M28" s="107">
        <v>0</v>
      </c>
      <c r="N28" s="104">
        <f t="shared" si="6"/>
        <v>3957.9107726519987</v>
      </c>
      <c r="O28" s="97">
        <f>N28+'prorrateo '!L21</f>
        <v>26290.573344252</v>
      </c>
    </row>
    <row r="29" spans="1:15" x14ac:dyDescent="0.25">
      <c r="A29" s="98"/>
      <c r="B29" s="90"/>
      <c r="C29" s="159" t="s">
        <v>67</v>
      </c>
      <c r="D29" s="147"/>
      <c r="E29" s="147">
        <v>1.08</v>
      </c>
      <c r="F29" s="147"/>
      <c r="G29" s="147"/>
      <c r="H29" s="148"/>
      <c r="I29" s="160"/>
      <c r="J29" s="161"/>
      <c r="K29" s="149"/>
      <c r="L29" s="150">
        <f t="shared" si="3"/>
        <v>3957.9107726519987</v>
      </c>
      <c r="M29" s="151">
        <v>0</v>
      </c>
      <c r="N29" s="148">
        <f t="shared" si="6"/>
        <v>3957.9107726519987</v>
      </c>
      <c r="O29" s="97">
        <f>N29+'prorrateo '!L22</f>
        <v>266556.42578905204</v>
      </c>
    </row>
    <row r="30" spans="1:15" x14ac:dyDescent="0.25">
      <c r="A30" s="98"/>
      <c r="B30" s="90"/>
      <c r="C30" s="170" t="s">
        <v>68</v>
      </c>
      <c r="D30" s="102"/>
      <c r="E30" s="102">
        <v>1.08</v>
      </c>
      <c r="F30" s="102"/>
      <c r="G30" s="102"/>
      <c r="H30" s="104"/>
      <c r="I30" s="171"/>
      <c r="J30" s="172"/>
      <c r="K30" s="106"/>
      <c r="L30" s="127">
        <f t="shared" si="3"/>
        <v>3957.9107726519987</v>
      </c>
      <c r="M30" s="107">
        <v>0</v>
      </c>
      <c r="N30" s="104">
        <f t="shared" si="6"/>
        <v>3957.9107726519987</v>
      </c>
      <c r="O30" s="97">
        <f>N30+'prorrateo '!L23</f>
        <v>58420.449533052008</v>
      </c>
    </row>
    <row r="31" spans="1:15" x14ac:dyDescent="0.25">
      <c r="A31" s="98"/>
      <c r="B31" s="90"/>
      <c r="C31" s="170" t="s">
        <v>69</v>
      </c>
      <c r="D31" s="102" t="s">
        <v>49</v>
      </c>
      <c r="E31" s="102">
        <v>1.08</v>
      </c>
      <c r="F31" s="102"/>
      <c r="G31" s="102"/>
      <c r="H31" s="104"/>
      <c r="I31" s="171"/>
      <c r="J31" s="172"/>
      <c r="K31" s="106"/>
      <c r="L31" s="127">
        <f t="shared" si="3"/>
        <v>3957.9107726519987</v>
      </c>
      <c r="M31" s="107">
        <v>0</v>
      </c>
      <c r="N31" s="104">
        <f t="shared" si="6"/>
        <v>3957.9107726519987</v>
      </c>
      <c r="O31" s="97">
        <f>N31+'prorrateo '!L24</f>
        <v>26290.573344252</v>
      </c>
    </row>
    <row r="32" spans="1:15" x14ac:dyDescent="0.25">
      <c r="A32" s="99"/>
      <c r="B32" s="243"/>
      <c r="C32" s="159" t="s">
        <v>70</v>
      </c>
      <c r="D32" s="147" t="s">
        <v>49</v>
      </c>
      <c r="E32" s="147">
        <v>1.08</v>
      </c>
      <c r="F32" s="147"/>
      <c r="G32" s="147"/>
      <c r="H32" s="148"/>
      <c r="I32" s="160"/>
      <c r="J32" s="161"/>
      <c r="K32" s="149"/>
      <c r="L32" s="150">
        <f t="shared" si="3"/>
        <v>3957.9107726519987</v>
      </c>
      <c r="M32" s="151">
        <v>0</v>
      </c>
      <c r="N32" s="148">
        <f t="shared" si="6"/>
        <v>3957.9107726519987</v>
      </c>
      <c r="O32" s="97">
        <f>N32+'prorrateo '!L25</f>
        <v>82785.166013052003</v>
      </c>
    </row>
    <row r="33" spans="1:16" x14ac:dyDescent="0.25">
      <c r="A33" s="98"/>
      <c r="B33" s="90"/>
      <c r="C33" s="130" t="s">
        <v>71</v>
      </c>
      <c r="D33" s="109" t="s">
        <v>63</v>
      </c>
      <c r="E33" s="109">
        <v>1.08</v>
      </c>
      <c r="F33" s="109"/>
      <c r="G33" s="109"/>
      <c r="H33" s="110"/>
      <c r="I33" s="111"/>
      <c r="J33" s="131"/>
      <c r="K33" s="113"/>
      <c r="L33" s="127">
        <f t="shared" si="3"/>
        <v>3957.9107726519987</v>
      </c>
      <c r="M33" s="107">
        <v>0</v>
      </c>
      <c r="N33" s="104">
        <f t="shared" si="6"/>
        <v>3957.9107726519987</v>
      </c>
      <c r="O33" s="97">
        <f>N33+'prorrateo '!L26</f>
        <v>26290.573344252</v>
      </c>
    </row>
    <row r="34" spans="1:16" x14ac:dyDescent="0.25">
      <c r="A34" s="98"/>
      <c r="B34" s="90"/>
      <c r="C34" s="130" t="s">
        <v>72</v>
      </c>
      <c r="D34" s="109" t="s">
        <v>63</v>
      </c>
      <c r="E34" s="109">
        <v>1.08</v>
      </c>
      <c r="F34" s="109"/>
      <c r="G34" s="109"/>
      <c r="H34" s="110"/>
      <c r="I34" s="111"/>
      <c r="J34" s="131"/>
      <c r="K34" s="113"/>
      <c r="L34" s="127">
        <f t="shared" si="3"/>
        <v>3957.9107726519987</v>
      </c>
      <c r="M34" s="107">
        <v>0</v>
      </c>
      <c r="N34" s="104">
        <f t="shared" si="6"/>
        <v>3957.9107726519987</v>
      </c>
      <c r="O34" s="97">
        <f>N34+'prorrateo '!L27</f>
        <v>26290.573344252</v>
      </c>
    </row>
    <row r="35" spans="1:16" x14ac:dyDescent="0.25">
      <c r="A35" s="98">
        <v>21</v>
      </c>
      <c r="B35" s="90"/>
      <c r="C35" s="170" t="s">
        <v>73</v>
      </c>
      <c r="D35" s="102"/>
      <c r="E35" s="102">
        <v>1.08</v>
      </c>
      <c r="F35" s="102"/>
      <c r="G35" s="102"/>
      <c r="H35" s="104">
        <v>0</v>
      </c>
      <c r="I35" s="171">
        <f t="shared" si="0"/>
        <v>0</v>
      </c>
      <c r="J35" s="173"/>
      <c r="K35" s="106"/>
      <c r="L35" s="127">
        <f t="shared" si="3"/>
        <v>3957.9107726519987</v>
      </c>
      <c r="M35" s="107">
        <v>0</v>
      </c>
      <c r="N35" s="104">
        <f t="shared" si="6"/>
        <v>3957.9107726519987</v>
      </c>
      <c r="O35" s="97">
        <f>N35+'prorrateo '!L28</f>
        <v>26290.573344252</v>
      </c>
    </row>
    <row r="36" spans="1:16" x14ac:dyDescent="0.25">
      <c r="A36" s="98">
        <v>22</v>
      </c>
      <c r="B36" s="90"/>
      <c r="C36" s="170" t="s">
        <v>74</v>
      </c>
      <c r="D36" s="102" t="s">
        <v>53</v>
      </c>
      <c r="E36" s="102">
        <v>1.08</v>
      </c>
      <c r="F36" s="102"/>
      <c r="G36" s="102"/>
      <c r="H36" s="104">
        <v>0</v>
      </c>
      <c r="I36" s="171">
        <f t="shared" si="0"/>
        <v>0</v>
      </c>
      <c r="J36" s="173"/>
      <c r="K36" s="106"/>
      <c r="L36" s="127">
        <f t="shared" si="3"/>
        <v>3957.9107726519987</v>
      </c>
      <c r="M36" s="107">
        <v>0</v>
      </c>
      <c r="N36" s="104">
        <f t="shared" si="6"/>
        <v>3957.9107726519987</v>
      </c>
      <c r="O36" s="97">
        <f>N36+'prorrateo '!L29</f>
        <v>26290.573344252</v>
      </c>
    </row>
    <row r="37" spans="1:16" x14ac:dyDescent="0.25">
      <c r="A37" s="98">
        <v>23</v>
      </c>
      <c r="B37" s="90"/>
      <c r="C37" s="109"/>
      <c r="D37" s="109"/>
      <c r="E37" s="109"/>
      <c r="F37" s="109"/>
      <c r="G37" s="109"/>
      <c r="H37" s="110">
        <v>0</v>
      </c>
      <c r="I37" s="111">
        <f t="shared" si="0"/>
        <v>0</v>
      </c>
      <c r="J37" s="132"/>
      <c r="K37" s="113"/>
      <c r="L37" s="127">
        <v>0</v>
      </c>
      <c r="M37" s="127">
        <v>0</v>
      </c>
      <c r="N37" s="104">
        <f t="shared" si="6"/>
        <v>0</v>
      </c>
    </row>
    <row r="38" spans="1:16" ht="14.25" customHeight="1" x14ac:dyDescent="0.25">
      <c r="A38" s="98">
        <v>24</v>
      </c>
      <c r="B38" s="90"/>
      <c r="C38" s="109"/>
      <c r="D38" s="109"/>
      <c r="E38" s="128"/>
      <c r="F38" s="109"/>
      <c r="G38" s="109"/>
      <c r="H38" s="110"/>
      <c r="I38" s="112"/>
      <c r="J38" s="117">
        <f>SUM(J10:J37)</f>
        <v>329579.71031000023</v>
      </c>
      <c r="K38" s="113"/>
      <c r="L38" s="113">
        <f>SUM(L10:L37)</f>
        <v>366473.21969</v>
      </c>
      <c r="M38" s="114"/>
      <c r="N38" s="110">
        <f>SUM(N10:N37)</f>
        <v>696052.93000000017</v>
      </c>
      <c r="P38" s="44"/>
    </row>
    <row r="39" spans="1:16" hidden="1" x14ac:dyDescent="0.25">
      <c r="A39" s="78"/>
      <c r="C39" s="91"/>
      <c r="D39" s="92"/>
      <c r="E39" s="134">
        <f>SUM(E10:E38)</f>
        <v>99.999999999999986</v>
      </c>
      <c r="F39" s="92"/>
      <c r="G39" s="92"/>
      <c r="H39" s="93"/>
      <c r="I39" s="94">
        <f>SUM(I10:I38)</f>
        <v>245.98910000000015</v>
      </c>
      <c r="J39" s="126"/>
      <c r="K39" s="94"/>
      <c r="L39" s="133">
        <f>L38+J38</f>
        <v>696052.93000000017</v>
      </c>
      <c r="M39" s="93"/>
      <c r="N39" s="93"/>
      <c r="O39" s="79"/>
    </row>
    <row r="40" spans="1:16" ht="30" hidden="1" x14ac:dyDescent="0.25">
      <c r="A40" s="95" t="s">
        <v>88</v>
      </c>
      <c r="C40" s="228"/>
      <c r="D40" s="226"/>
      <c r="E40" s="226"/>
      <c r="F40" s="226"/>
      <c r="G40" s="226"/>
      <c r="H40" s="226"/>
      <c r="I40" s="226"/>
      <c r="J40" s="226"/>
      <c r="K40" s="226"/>
      <c r="L40" s="226"/>
      <c r="M40" s="226"/>
      <c r="N40" s="226"/>
      <c r="O40" s="95"/>
    </row>
    <row r="41" spans="1:16" x14ac:dyDescent="0.25">
      <c r="H41" s="79"/>
      <c r="J41" s="96"/>
      <c r="K41" s="96"/>
      <c r="L41" s="96"/>
      <c r="N41" s="97"/>
    </row>
    <row r="43" spans="1:16" x14ac:dyDescent="0.25">
      <c r="E43" s="4"/>
    </row>
    <row r="44" spans="1:16" x14ac:dyDescent="0.25">
      <c r="L44" s="152"/>
    </row>
    <row r="45" spans="1:16" x14ac:dyDescent="0.25">
      <c r="L45" s="96"/>
    </row>
    <row r="46" spans="1:16" x14ac:dyDescent="0.25">
      <c r="E46" s="153"/>
      <c r="F46" s="153"/>
      <c r="G46" s="153"/>
      <c r="H46" s="153"/>
      <c r="I46" s="153"/>
      <c r="J46" s="153"/>
      <c r="K46" s="153"/>
      <c r="L46" s="154"/>
    </row>
  </sheetData>
  <mergeCells count="3">
    <mergeCell ref="A1:N1"/>
    <mergeCell ref="C40:N40"/>
    <mergeCell ref="L8:M8"/>
  </mergeCells>
  <pageMargins left="0.7" right="0.7" top="0.75" bottom="0.75" header="0.3" footer="0.3"/>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2025-11-02T02:14:53Z</cp:lastPrinted>
  <dcterms:created xsi:type="dcterms:W3CDTF">2020-12-10T00:27:53Z</dcterms:created>
  <dcterms:modified xsi:type="dcterms:W3CDTF">2025-11-02T02:14:56Z</dcterms:modified>
</cp:coreProperties>
</file>