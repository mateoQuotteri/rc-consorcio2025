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marzo\"/>
    </mc:Choice>
  </mc:AlternateContent>
  <xr:revisionPtr revIDLastSave="0" documentId="13_ncr:1_{8671E0D2-E72D-41E6-A2B3-21D6E57A7B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Planilla!$A$1:$N$38</definedName>
    <definedName name="_xlnm.Print_Area" localSheetId="2">RESUMEN!$A$1:$H$117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H83" i="27"/>
  <c r="H86" i="27"/>
  <c r="H96" i="27"/>
  <c r="G28" i="1"/>
  <c r="G20" i="1"/>
  <c r="F4" i="1" l="1"/>
  <c r="H36" i="27"/>
  <c r="G23" i="1"/>
  <c r="G22" i="1"/>
  <c r="G17" i="1"/>
  <c r="G31" i="1"/>
  <c r="H53" i="27" l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9" i="27"/>
  <c r="G15" i="1" l="1"/>
  <c r="G13" i="1" l="1"/>
  <c r="B5" i="1"/>
  <c r="H78" i="27"/>
  <c r="G29" i="1" l="1"/>
  <c r="H21" i="27" l="1"/>
  <c r="G30" i="1" l="1"/>
  <c r="G25" i="1"/>
  <c r="H43" i="27" l="1"/>
  <c r="G26" i="1" l="1"/>
  <c r="F1" i="1" l="1"/>
  <c r="H38" i="27" l="1"/>
  <c r="H33" i="27" l="1"/>
  <c r="H18" i="1" l="1"/>
  <c r="I18" i="1" s="1"/>
  <c r="G10" i="1" l="1"/>
  <c r="H109" i="27" l="1"/>
  <c r="H61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80" i="27" l="1"/>
  <c r="H85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6" i="27"/>
  <c r="H71" i="27" s="1"/>
  <c r="H98" i="27" s="1"/>
  <c r="H58" i="27"/>
  <c r="H84" i="27" l="1"/>
  <c r="F32" i="1"/>
  <c r="E32" i="1"/>
  <c r="B32" i="1"/>
  <c r="H70" i="27" l="1"/>
  <c r="H87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G32" i="1"/>
  <c r="H94" i="27" s="1"/>
  <c r="H102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<sst xmlns="http://schemas.openxmlformats.org/spreadsheetml/2006/main" count="241" uniqueCount="164">
  <si>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</si>
  <si>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</si>
  <si>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</si>
  <si>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</si>
  <si>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</si>
  <si>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</si>
  <si>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</si>
  <si>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</si>
  <si>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</si>
  <si>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</si>
  <si>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</si>
  <si>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</si>
  <si>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</si>
  <si>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</si>
  <si>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</si>
  <si>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</si>
  <si>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</si>
  <si>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</si>
  <si>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</si>
  <si>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</si>
  <si>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</si>
  <si>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</si>
  <si>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</si>
  <si>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</si>
  <si>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</si>
  <si>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</si>
  <si>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</si>
  <si>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</si>
  <si>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</si>
  <si>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</si>
  <si>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</si>
  <si>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</si>
  <si>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</si>
  <si>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</si>
  <si>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</si>
  <si>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</si>
  <si>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</si>
  <si>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</si>
  <si>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</si>
  <si>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</si>
  <si>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</si>
  <si>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</si>
  <si>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</si>
  <si>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</si>
  <si>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</si>
  <si>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</si>
  <si>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</si>
  <si>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</si>
  <si>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</si>
  <si>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</si>
  <si>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</si>
  <si>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</si>
  <si>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</si>
  <si>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</si>
  <si>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</si>
  <si>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</si>
  <si>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</si>
  <si>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</si>
  <si>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</si>
  <si>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</si>
  <si>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</si>
  <si>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</si>
  <si>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</si>
  <si>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</si>
  <si>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</si>
  <si>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</si>
  <si>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</si>
  <si>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</si>
  <si>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</si>
  <si>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</si>
  <si>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</si>
  <si>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</si>
  <si>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</si>
  <si>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</si>
  <si>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</si>
  <si>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</si>
  <si>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>6. GASTOS LEGALES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</si>
  <si>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</si>
  <si>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</si>
  <si>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</si>
  <si>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</si>
  <si>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</si>
  <si>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</si>
  <si>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</si>
  <si>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</si>
  <si>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</si>
  <si>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</si>
  <si>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</si>
  <si>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</si>
  <si>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</si>
  <si>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</si>
  <si>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</si>
  <si>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</si>
  <si>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TOTAL SAC</t>
  </si>
  <si>
    <t xml:space="preserve">Plus antigüedad </t>
  </si>
  <si>
    <t xml:space="preserve">Plus retiro residuos </t>
  </si>
  <si>
    <t>2-CARGAS SOCIALES</t>
  </si>
  <si>
    <t>4- SERVICIO PUBLICIO</t>
  </si>
  <si>
    <t>5- MANTENIMIENTO DE PARTES COMUNES</t>
  </si>
  <si>
    <t>6- GASTO DE ADMINISTRACION</t>
  </si>
  <si>
    <t>7-. SEGUROS OBLIGATORIOS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</si>
  <si>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</si>
  <si>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</si>
  <si>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</si>
  <si>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</si>
  <si>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</si>
  <si>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</si>
  <si>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</si>
  <si>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</si>
  <si>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</si>
  <si>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</si>
  <si>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</si>
  <si>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</si>
  <si>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</si>
  <si>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</si>
  <si>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</si>
  <si>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</si>
  <si>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</si>
  <si>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</si>
  <si>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</si>
  <si>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</si>
  <si>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</si>
  <si>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</si>
  <si>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</si>
  <si>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</si>
  <si>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</si>
  <si>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</si>
  <si>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</si>
  <si>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</si>
  <si>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</si>
  <si>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</si>
  <si>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</si>
  <si>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</si>
  <si>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</si>
  <si>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</si>
  <si>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</si>
  <si>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</si>
  <si>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</si>
  <si>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</si>
  <si>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</si>
  <si>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</si>
  <si>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</si>
  <si>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</si>
  <si>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</si>
  <si>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INTERES por MORA 2,5%</t>
  </si>
  <si>
    <t>VENCIMIENTO: 13/02</t>
  </si>
  <si>
    <t>Eliseo</t>
  </si>
  <si>
    <t>FEBRERO</t>
  </si>
  <si>
    <t>Egresos por gastos mes - FEBRERO</t>
  </si>
  <si>
    <t>Ingreso por pago de Expensas - ENERO</t>
  </si>
  <si>
    <t>AYSA</t>
  </si>
  <si>
    <t>Damato fumigaciones - Marzo</t>
  </si>
  <si>
    <t>Lema ascensores provision y colocacion de nueva fuente rectificadora</t>
  </si>
  <si>
    <t>Salvatierra matias - Desobstruccion columna dpto 6</t>
  </si>
  <si>
    <t xml:space="preserve">Damato Desratizacion </t>
  </si>
  <si>
    <t xml:space="preserve">Doartero Julio - Materiales y mano de obra realizacion tapa nueva hall de entrada </t>
  </si>
  <si>
    <t>Apertura departamentos cambio de caño roto en cocina 4,16 - Material y mano de obra</t>
  </si>
  <si>
    <t>Cuota 2 - Obra piso 5 - Dpto 2 -  Apertura de cocina y lavaderopara el cambio de caños de desague de cocina y lavadero - compra de materiales y mano de obra</t>
  </si>
  <si>
    <t>REEMPLAZO</t>
  </si>
  <si>
    <t>Reemplazo Sra. Monica vacaciones</t>
  </si>
  <si>
    <t xml:space="preserve">Seguro </t>
  </si>
  <si>
    <t>Asignacion remunerativa</t>
  </si>
  <si>
    <t>JPL - Articulo de limpiezas</t>
  </si>
  <si>
    <t>SE CONDONA A LA UF 5.20 EL GASTO OCASIONADO EN EL CAMBIO DE CERRADURA DEL CUARTO DE MEDIDORES DESPUES DE UNA CONVERSACION ENTRE ABOGADOS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</si>
</sst>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5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166" fontId="8" fillId="3" borderId="4" xfId="0" applyNumberFormat="1" applyFont="1" applyFill="1" applyBorder="1" applyAlignment="1">
      <alignment horizontal="center"/>
    </xf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6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9" fillId="3" borderId="4" xfId="0" applyNumberFormat="1" applyFont="1" applyFill="1" applyBorder="1" applyAlignment="1">
      <alignment horizontal="center"/>
    </xf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/>
    </xf>
    <xf numFmtId="17" fontId="3" fillId="3" borderId="38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167" fontId="2" fillId="3" borderId="41" xfId="1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15" fillId="3" borderId="4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9" fillId="0" borderId="0" xfId="0" applyNumberFormat="1" applyFont="1"/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5" xfId="0" applyNumberFormat="1" applyFont="1" applyFill="1" applyBorder="1"/>
    <xf numFmtId="166" fontId="24" fillId="3" borderId="32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30" fillId="0" borderId="1" xfId="0" applyNumberFormat="1" applyFont="1" applyBorder="1"/>
    <xf numFmtId="166" fontId="21" fillId="0" borderId="1" xfId="1" applyFont="1" applyBorder="1"/>
    <xf numFmtId="43" fontId="0" fillId="0" borderId="0" xfId="0" applyNumberFormat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4" fillId="3" borderId="34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167" fontId="22" fillId="5" borderId="0" xfId="1" applyNumberFormat="1" applyFont="1" applyFill="1" applyAlignment="1">
      <alignment horizontal="center" vertical="center"/>
    </xf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166" fontId="0" fillId="8" borderId="13" xfId="1" applyFont="1" applyFill="1" applyBorder="1"/>
    <xf numFmtId="167" fontId="27" fillId="8" borderId="13" xfId="1" applyNumberFormat="1" applyFont="1" applyFill="1" applyBorder="1"/>
    <xf numFmtId="167" fontId="0" fillId="8" borderId="13" xfId="1" applyNumberFormat="1" applyFont="1" applyFill="1" applyBorder="1"/>
    <xf numFmtId="166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70" fontId="12" fillId="8" borderId="1" xfId="0" applyNumberFormat="1" applyFont="1" applyFill="1" applyBorder="1" applyAlignment="1">
      <alignment horizontal="center"/>
    </xf>
    <xf numFmtId="169" fontId="12" fillId="8" borderId="1" xfId="0" applyNumberFormat="1" applyFont="1" applyFill="1" applyBorder="1" applyAlignment="1">
      <alignment horizontal="center"/>
    </xf>
    <xf numFmtId="0" fontId="0" fillId="8" borderId="13" xfId="0" applyFill="1" applyBorder="1" applyAlignment="1">
      <alignment horizontal="right"/>
    </xf>
    <xf numFmtId="167" fontId="21" fillId="8" borderId="13" xfId="1" applyNumberFormat="1" applyFont="1" applyFill="1" applyBorder="1"/>
    <xf numFmtId="167" fontId="21" fillId="2" borderId="1" xfId="1" applyNumberFormat="1" applyFont="1" applyFill="1" applyBorder="1"/>
    <xf numFmtId="167" fontId="21" fillId="8" borderId="1" xfId="1" applyNumberFormat="1" applyFont="1" applyFill="1" applyBorder="1"/>
    <xf numFmtId="168" fontId="21" fillId="0" borderId="9" xfId="0" applyNumberFormat="1" applyFont="1" applyBorder="1"/>
    <xf numFmtId="0" fontId="21" fillId="0" borderId="0" xfId="0" applyFont="1"/>
    <xf numFmtId="166" fontId="21" fillId="2" borderId="28" xfId="1" applyFont="1" applyFill="1" applyBorder="1"/>
    <xf numFmtId="166" fontId="21" fillId="2" borderId="31" xfId="1" applyFont="1" applyFill="1" applyBorder="1"/>
    <xf numFmtId="168" fontId="22" fillId="3" borderId="9" xfId="0" applyNumberFormat="1" applyFont="1" applyFill="1" applyBorder="1" applyAlignment="1">
      <alignment horizontal="center" wrapText="1"/>
    </xf>
    <xf numFmtId="168" fontId="22" fillId="3" borderId="0" xfId="0" applyNumberFormat="1" applyFont="1" applyFill="1" applyAlignment="1">
      <alignment horizontal="center" wrapText="1"/>
    </xf>
    <xf numFmtId="168" fontId="22" fillId="3" borderId="10" xfId="0" applyNumberFormat="1" applyFont="1" applyFill="1" applyBorder="1" applyAlignment="1">
      <alignment horizontal="center" wrapText="1"/>
    </xf>
    <xf numFmtId="166" fontId="21" fillId="2" borderId="10" xfId="1" applyFont="1" applyFill="1" applyBorder="1"/>
    <xf numFmtId="166" fontId="22" fillId="2" borderId="10" xfId="1" applyFont="1" applyFill="1" applyBorder="1"/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68" fontId="22" fillId="3" borderId="9" xfId="0" applyNumberFormat="1" applyFont="1" applyFill="1" applyBorder="1" applyAlignment="1">
      <alignment horizontal="center"/>
    </xf>
    <xf numFmtId="168" fontId="22" fillId="3" borderId="0" xfId="0" applyNumberFormat="1" applyFont="1" applyFill="1" applyAlignment="1">
      <alignment horizontal="center"/>
    </xf>
    <xf numFmtId="168" fontId="22" fillId="3" borderId="10" xfId="0" applyNumberFormat="1" applyFont="1" applyFill="1" applyBorder="1" applyAlignment="1">
      <alignment horizontal="center"/>
    </xf>
    <xf numFmtId="16" fontId="21" fillId="0" borderId="0" xfId="0" applyNumberFormat="1" applyFont="1"/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1" fillId="0" borderId="9" xfId="0" applyFont="1" applyBorder="1"/>
    <xf numFmtId="166" fontId="21" fillId="5" borderId="28" xfId="1" applyFont="1" applyFill="1" applyBorder="1"/>
    <xf numFmtId="0" fontId="21" fillId="0" borderId="9" xfId="0" applyFont="1" applyBorder="1" applyAlignment="1">
      <alignment horizontal="left"/>
    </xf>
    <xf numFmtId="0" fontId="21" fillId="2" borderId="9" xfId="0" applyFont="1" applyFill="1" applyBorder="1"/>
    <xf numFmtId="166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166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166" fontId="24" fillId="3" borderId="6" xfId="0" applyNumberFormat="1" applyFont="1" applyFill="1" applyBorder="1"/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166" fontId="24" fillId="3" borderId="1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381000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Normal="100" workbookViewId="0">
      <selection activeCell="K5" sqref="K5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7.42578125" style="2" customWidth="1"/>
    <col min="7" max="7" width="10.28515625" style="2" customWidth="1"/>
    <col min="8" max="8" width="11.57031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6.28515625" bestFit="1" customWidth="1"/>
    <col min="15" max="15" width="12" bestFit="1" customWidth="1"/>
  </cols>
  <sheetData>
    <row r="1" spans="1:14" ht="26.25" customHeight="1">
      <c r="A1" s="106"/>
      <c r="B1" s="107"/>
      <c r="C1" s="107"/>
      <c r="D1" s="107"/>
      <c r="E1" s="108" t="s">
        <v>68</v>
      </c>
      <c r="F1" s="109" t="str">
        <f>RESUMEN!F8</f>
        <v>FEBRERO</v>
      </c>
      <c r="G1" s="110" t="s">
        <v>145</v>
      </c>
      <c r="H1" s="107"/>
      <c r="I1" s="107"/>
      <c r="J1" s="107"/>
      <c r="K1" s="107"/>
      <c r="L1" s="107"/>
      <c r="M1" s="107"/>
      <c r="N1" s="111"/>
    </row>
    <row r="2" spans="1:14">
      <c r="A2" s="62"/>
      <c r="B2" s="62"/>
      <c r="C2" s="131">
        <v>1333150</v>
      </c>
      <c r="D2" s="62"/>
      <c r="E2" s="62"/>
      <c r="F2" s="118"/>
      <c r="G2" s="118"/>
      <c r="H2" s="118"/>
      <c r="I2" s="118"/>
      <c r="J2" s="118"/>
      <c r="K2" s="118"/>
      <c r="L2" s="62"/>
      <c r="M2" s="62"/>
      <c r="N2" s="62"/>
    </row>
    <row r="3" spans="1:14">
      <c r="A3" s="119"/>
      <c r="B3" s="120"/>
      <c r="C3" s="105">
        <v>1564758.38</v>
      </c>
      <c r="D3" s="62"/>
      <c r="E3" s="62"/>
      <c r="F3" s="121"/>
      <c r="G3" s="121"/>
      <c r="H3" s="121"/>
      <c r="I3" s="121"/>
      <c r="J3" s="121"/>
      <c r="K3" s="121"/>
      <c r="L3" s="62" t="s">
        <v>82</v>
      </c>
      <c r="M3" s="62"/>
      <c r="N3" s="62"/>
    </row>
    <row r="4" spans="1:14" ht="18.75" customHeight="1">
      <c r="A4" s="122"/>
      <c r="B4" s="123" t="s">
        <v>83</v>
      </c>
      <c r="C4" s="62"/>
      <c r="D4" s="62"/>
      <c r="E4" s="123" t="s">
        <v>86</v>
      </c>
      <c r="F4" s="127">
        <f>74000-43</f>
        <v>73957</v>
      </c>
      <c r="G4" s="121"/>
      <c r="H4" s="121"/>
      <c r="I4" s="121"/>
      <c r="J4" s="121"/>
      <c r="K4" s="121"/>
      <c r="L4" s="62" t="s">
        <v>81</v>
      </c>
      <c r="M4" s="62"/>
      <c r="N4" s="62"/>
    </row>
    <row r="5" spans="1:14" ht="15.75" customHeight="1">
      <c r="A5" s="124"/>
      <c r="B5" s="154">
        <f>C3</f>
        <v>1564758.38</v>
      </c>
      <c r="C5" s="154"/>
      <c r="D5" s="22"/>
      <c r="E5" s="125">
        <v>70000</v>
      </c>
      <c r="F5" s="118"/>
      <c r="G5" s="118"/>
      <c r="H5" s="118"/>
      <c r="I5" s="118"/>
      <c r="J5" s="118"/>
      <c r="K5" s="118"/>
      <c r="L5" s="62"/>
      <c r="M5" s="62"/>
      <c r="N5" s="62"/>
    </row>
    <row r="6" spans="1:14" ht="15.75" customHeight="1">
      <c r="A6" s="124"/>
      <c r="B6" s="126" t="s">
        <v>84</v>
      </c>
      <c r="C6" s="22"/>
      <c r="D6" s="22"/>
      <c r="E6" s="123" t="s">
        <v>115</v>
      </c>
      <c r="F6" s="118"/>
      <c r="G6" s="118"/>
      <c r="H6" s="118"/>
      <c r="I6" s="118"/>
      <c r="J6" s="118"/>
      <c r="K6" s="118"/>
      <c r="L6" s="62"/>
      <c r="M6" s="62"/>
      <c r="N6" s="62"/>
    </row>
    <row r="7" spans="1:14" ht="18.75" customHeight="1">
      <c r="A7" s="124"/>
      <c r="B7" s="154">
        <f>C2</f>
        <v>1333150</v>
      </c>
      <c r="C7" s="154"/>
      <c r="D7" s="22"/>
      <c r="E7" s="22"/>
      <c r="F7" s="118"/>
      <c r="G7" s="118"/>
      <c r="H7" s="118"/>
      <c r="I7" s="118"/>
      <c r="J7" s="118"/>
      <c r="K7" s="118"/>
      <c r="L7" s="62"/>
      <c r="M7" s="62"/>
      <c r="N7" s="62"/>
    </row>
    <row r="8" spans="1:14" ht="36.75" customHeight="1" thickBot="1">
      <c r="A8" s="112" t="s">
        <v>0</v>
      </c>
      <c r="B8" s="113" t="s">
        <v>3</v>
      </c>
      <c r="C8" s="114" t="s">
        <v>1</v>
      </c>
      <c r="D8" s="115" t="s">
        <v>117</v>
      </c>
      <c r="E8" s="113" t="s">
        <v>2</v>
      </c>
      <c r="F8" s="116" t="s">
        <v>16</v>
      </c>
      <c r="G8" s="116" t="s">
        <v>63</v>
      </c>
      <c r="H8" s="116" t="s">
        <v>64</v>
      </c>
      <c r="I8" s="116" t="s">
        <v>144</v>
      </c>
      <c r="J8" s="116" t="s">
        <v>65</v>
      </c>
      <c r="K8" s="130" t="s">
        <v>141</v>
      </c>
      <c r="L8" s="113" t="s">
        <v>7</v>
      </c>
      <c r="M8" s="113" t="s">
        <v>15</v>
      </c>
      <c r="N8" s="117" t="s">
        <v>8</v>
      </c>
    </row>
    <row r="9" spans="1:14" ht="15" customHeight="1">
      <c r="A9" s="205">
        <v>1</v>
      </c>
      <c r="B9" s="204" t="s">
        <v>40</v>
      </c>
      <c r="C9" s="201" t="s">
        <v>19</v>
      </c>
      <c r="D9" s="201" t="s">
        <v>116</v>
      </c>
      <c r="E9" s="202">
        <v>4.0500000000000001E-2</v>
      </c>
      <c r="F9" s="194">
        <v>353916.30206046574</v>
      </c>
      <c r="G9" s="206"/>
      <c r="H9" s="196">
        <f>IF(F9&gt;G9,F9-G9,0)</f>
        <v>353916.30206046574</v>
      </c>
      <c r="I9" s="196">
        <f>H9*2.5%</f>
        <v>8847.9075515116438</v>
      </c>
      <c r="J9" s="196">
        <f>IF(G9&gt;F9,G9-F9,0)</f>
        <v>0</v>
      </c>
      <c r="K9" s="196">
        <f>F$4*E9</f>
        <v>2995.2584999999999</v>
      </c>
      <c r="L9" s="197">
        <f>B$5*E9</f>
        <v>63372.714390000001</v>
      </c>
      <c r="M9" s="197">
        <f>B$7*E9</f>
        <v>53992.575000000004</v>
      </c>
      <c r="N9" s="197">
        <f>H9+I9-J9+K9+L9+M9</f>
        <v>483124.75750197738</v>
      </c>
    </row>
    <row r="10" spans="1:14" ht="15" customHeight="1">
      <c r="A10" s="52">
        <v>2</v>
      </c>
      <c r="B10" s="39" t="s">
        <v>41</v>
      </c>
      <c r="C10" s="95" t="s">
        <v>20</v>
      </c>
      <c r="D10" s="95"/>
      <c r="E10" s="46">
        <v>6.4799999999999996E-2</v>
      </c>
      <c r="F10" s="17">
        <v>175807.144008</v>
      </c>
      <c r="G10" s="207">
        <f>F10</f>
        <v>175807.144008</v>
      </c>
      <c r="H10" s="25">
        <f t="shared" ref="H10:H31" si="0">IF(F10&gt;G10,F10-G10,0)</f>
        <v>0</v>
      </c>
      <c r="I10" s="25">
        <f t="shared" ref="I10:I31" si="1">H10*2.5%</f>
        <v>0</v>
      </c>
      <c r="J10" s="25">
        <f t="shared" ref="J10:J31" si="2">IF(G10&gt;F10,G10-F10,0)</f>
        <v>0</v>
      </c>
      <c r="K10" s="25">
        <f t="shared" ref="K10:K31" si="3">F$4*E10</f>
        <v>4792.4135999999999</v>
      </c>
      <c r="L10" s="26">
        <f t="shared" ref="L10:L31" si="4">B$5*E10</f>
        <v>101396.34302399999</v>
      </c>
      <c r="M10" s="26">
        <f t="shared" ref="M10:M31" si="5">B$7*E10</f>
        <v>86388.12</v>
      </c>
      <c r="N10" s="26">
        <f t="shared" ref="N10:N31" si="6">H10+I10-J10+K10+L10+M10</f>
        <v>192576.87662399997</v>
      </c>
    </row>
    <row r="11" spans="1:14" ht="15" customHeight="1">
      <c r="A11" s="190">
        <v>3</v>
      </c>
      <c r="B11" s="204" t="s">
        <v>42</v>
      </c>
      <c r="C11" s="201" t="s">
        <v>21</v>
      </c>
      <c r="D11" s="201" t="s">
        <v>118</v>
      </c>
      <c r="E11" s="202">
        <v>4.82E-2</v>
      </c>
      <c r="F11" s="194">
        <v>429494.94281447626</v>
      </c>
      <c r="G11" s="208"/>
      <c r="H11" s="196">
        <f t="shared" si="0"/>
        <v>429494.94281447626</v>
      </c>
      <c r="I11" s="196">
        <f t="shared" si="1"/>
        <v>10737.373570361908</v>
      </c>
      <c r="J11" s="196">
        <f t="shared" si="2"/>
        <v>0</v>
      </c>
      <c r="K11" s="196">
        <f t="shared" si="3"/>
        <v>3564.7273999999998</v>
      </c>
      <c r="L11" s="197">
        <f t="shared" si="4"/>
        <v>75421.353915999993</v>
      </c>
      <c r="M11" s="197">
        <f t="shared" si="5"/>
        <v>64257.83</v>
      </c>
      <c r="N11" s="197">
        <f>H11+I11-J11+K11+L11+M11+E7</f>
        <v>583476.22770083812</v>
      </c>
    </row>
    <row r="12" spans="1:14" ht="15" customHeight="1">
      <c r="A12" s="190">
        <v>4</v>
      </c>
      <c r="B12" s="203" t="s">
        <v>43</v>
      </c>
      <c r="C12" s="201" t="s">
        <v>113</v>
      </c>
      <c r="D12" s="201" t="s">
        <v>119</v>
      </c>
      <c r="E12" s="202">
        <v>5.3499999999999999E-2</v>
      </c>
      <c r="F12" s="194">
        <v>898543.34154752991</v>
      </c>
      <c r="G12" s="208"/>
      <c r="H12" s="196">
        <f t="shared" si="0"/>
        <v>898543.34154752991</v>
      </c>
      <c r="I12" s="196">
        <f t="shared" si="1"/>
        <v>22463.58353868825</v>
      </c>
      <c r="J12" s="196">
        <f t="shared" si="2"/>
        <v>0</v>
      </c>
      <c r="K12" s="196">
        <f t="shared" si="3"/>
        <v>3956.6994999999997</v>
      </c>
      <c r="L12" s="197">
        <f t="shared" si="4"/>
        <v>83714.573329999999</v>
      </c>
      <c r="M12" s="197">
        <f t="shared" si="5"/>
        <v>71323.524999999994</v>
      </c>
      <c r="N12" s="197">
        <f t="shared" si="6"/>
        <v>1080001.7229162182</v>
      </c>
    </row>
    <row r="13" spans="1:14" ht="15" customHeight="1">
      <c r="A13" s="52">
        <v>5</v>
      </c>
      <c r="B13" s="39" t="s">
        <v>44</v>
      </c>
      <c r="C13" s="96" t="s">
        <v>23</v>
      </c>
      <c r="D13" s="95"/>
      <c r="E13" s="46">
        <v>3.85E-2</v>
      </c>
      <c r="F13" s="17">
        <v>104453.318585</v>
      </c>
      <c r="G13" s="207">
        <f>F13</f>
        <v>104453.318585</v>
      </c>
      <c r="H13" s="25">
        <f t="shared" si="0"/>
        <v>0</v>
      </c>
      <c r="I13" s="25">
        <f t="shared" si="1"/>
        <v>0</v>
      </c>
      <c r="J13" s="25">
        <f t="shared" si="2"/>
        <v>0</v>
      </c>
      <c r="K13" s="25">
        <f t="shared" si="3"/>
        <v>2847.3445000000002</v>
      </c>
      <c r="L13" s="26">
        <f t="shared" si="4"/>
        <v>60243.197629999995</v>
      </c>
      <c r="M13" s="26">
        <f t="shared" si="5"/>
        <v>51326.275000000001</v>
      </c>
      <c r="N13" s="26">
        <f t="shared" si="6"/>
        <v>114416.81713</v>
      </c>
    </row>
    <row r="14" spans="1:14" ht="15" customHeight="1">
      <c r="A14" s="52">
        <v>6</v>
      </c>
      <c r="B14" s="41" t="s">
        <v>45</v>
      </c>
      <c r="C14" s="96" t="s">
        <v>24</v>
      </c>
      <c r="D14" s="95" t="s">
        <v>120</v>
      </c>
      <c r="E14" s="46">
        <v>3.5900000000000001E-2</v>
      </c>
      <c r="F14" s="17">
        <v>97399.328238999995</v>
      </c>
      <c r="G14" s="207">
        <f>F14</f>
        <v>97399.328238999995</v>
      </c>
      <c r="H14" s="25">
        <f t="shared" si="0"/>
        <v>0</v>
      </c>
      <c r="I14" s="25">
        <f t="shared" si="1"/>
        <v>0</v>
      </c>
      <c r="J14" s="25">
        <f t="shared" si="2"/>
        <v>0</v>
      </c>
      <c r="K14" s="25">
        <f t="shared" si="3"/>
        <v>2655.0563000000002</v>
      </c>
      <c r="L14" s="26">
        <f t="shared" si="4"/>
        <v>56174.825841999998</v>
      </c>
      <c r="M14" s="26">
        <f t="shared" si="5"/>
        <v>47860.084999999999</v>
      </c>
      <c r="N14" s="26">
        <f t="shared" si="6"/>
        <v>106689.96714200001</v>
      </c>
    </row>
    <row r="15" spans="1:14" ht="15" customHeight="1">
      <c r="A15" s="52">
        <v>7</v>
      </c>
      <c r="B15" s="41" t="s">
        <v>46</v>
      </c>
      <c r="C15" s="96" t="s">
        <v>25</v>
      </c>
      <c r="D15" s="95" t="s">
        <v>121</v>
      </c>
      <c r="E15" s="46">
        <v>4.1399999999999999E-2</v>
      </c>
      <c r="F15" s="17">
        <v>112321.23089399999</v>
      </c>
      <c r="G15" s="207">
        <f>F15</f>
        <v>112321.23089399999</v>
      </c>
      <c r="H15" s="25">
        <f t="shared" si="0"/>
        <v>0</v>
      </c>
      <c r="I15" s="25">
        <f t="shared" si="1"/>
        <v>0</v>
      </c>
      <c r="J15" s="25">
        <f t="shared" si="2"/>
        <v>0</v>
      </c>
      <c r="K15" s="25">
        <f t="shared" si="3"/>
        <v>3061.8197999999998</v>
      </c>
      <c r="L15" s="26">
        <f t="shared" si="4"/>
        <v>64780.996931999995</v>
      </c>
      <c r="M15" s="26">
        <f t="shared" si="5"/>
        <v>55192.409999999996</v>
      </c>
      <c r="N15" s="26">
        <f t="shared" si="6"/>
        <v>123035.22673199998</v>
      </c>
    </row>
    <row r="16" spans="1:14" ht="15" customHeight="1">
      <c r="A16" s="52">
        <v>8</v>
      </c>
      <c r="B16" s="41" t="s">
        <v>47</v>
      </c>
      <c r="C16" s="96" t="s">
        <v>80</v>
      </c>
      <c r="D16" s="95" t="s">
        <v>122</v>
      </c>
      <c r="E16" s="46">
        <v>5.3499999999999999E-2</v>
      </c>
      <c r="F16" s="17">
        <v>145149.41673499998</v>
      </c>
      <c r="G16" s="207"/>
      <c r="H16" s="25">
        <f t="shared" si="0"/>
        <v>145149.41673499998</v>
      </c>
      <c r="I16" s="25">
        <f t="shared" si="1"/>
        <v>3628.7354183749994</v>
      </c>
      <c r="J16" s="25">
        <f t="shared" si="2"/>
        <v>0</v>
      </c>
      <c r="K16" s="25">
        <f t="shared" si="3"/>
        <v>3956.6994999999997</v>
      </c>
      <c r="L16" s="26">
        <f t="shared" si="4"/>
        <v>83714.573329999999</v>
      </c>
      <c r="M16" s="26">
        <f t="shared" si="5"/>
        <v>71323.524999999994</v>
      </c>
      <c r="N16" s="26">
        <f t="shared" si="6"/>
        <v>307772.94998337491</v>
      </c>
    </row>
    <row r="17" spans="1:15" ht="15" customHeight="1">
      <c r="A17" s="52">
        <v>9</v>
      </c>
      <c r="B17" s="41" t="s">
        <v>48</v>
      </c>
      <c r="C17" s="96" t="s">
        <v>26</v>
      </c>
      <c r="D17" s="95" t="s">
        <v>123</v>
      </c>
      <c r="E17" s="46">
        <v>3.85E-2</v>
      </c>
      <c r="F17" s="17">
        <v>104453.318585</v>
      </c>
      <c r="G17" s="207">
        <f>F17</f>
        <v>104453.318585</v>
      </c>
      <c r="H17" s="25">
        <f t="shared" si="0"/>
        <v>0</v>
      </c>
      <c r="I17" s="25">
        <f t="shared" si="1"/>
        <v>0</v>
      </c>
      <c r="J17" s="25">
        <f t="shared" si="2"/>
        <v>0</v>
      </c>
      <c r="K17" s="25">
        <f t="shared" si="3"/>
        <v>2847.3445000000002</v>
      </c>
      <c r="L17" s="26">
        <f t="shared" si="4"/>
        <v>60243.197629999995</v>
      </c>
      <c r="M17" s="26">
        <f t="shared" si="5"/>
        <v>51326.275000000001</v>
      </c>
      <c r="N17" s="26">
        <f t="shared" si="6"/>
        <v>114416.81713</v>
      </c>
    </row>
    <row r="18" spans="1:15" ht="15" customHeight="1">
      <c r="A18" s="190">
        <v>10</v>
      </c>
      <c r="B18" s="198" t="s">
        <v>49</v>
      </c>
      <c r="C18" s="199" t="s">
        <v>27</v>
      </c>
      <c r="D18" s="201"/>
      <c r="E18" s="202">
        <v>3.5900000000000001E-2</v>
      </c>
      <c r="F18" s="194">
        <v>849223.70709049981</v>
      </c>
      <c r="G18" s="208">
        <v>105000</v>
      </c>
      <c r="H18" s="196">
        <f>IF(F18&gt;G18,F18-G18,0)</f>
        <v>744223.70709049981</v>
      </c>
      <c r="I18" s="196">
        <f t="shared" si="1"/>
        <v>18605.592677262495</v>
      </c>
      <c r="J18" s="196">
        <f t="shared" si="2"/>
        <v>0</v>
      </c>
      <c r="K18" s="196">
        <f t="shared" si="3"/>
        <v>2655.0563000000002</v>
      </c>
      <c r="L18" s="197">
        <f t="shared" si="4"/>
        <v>56174.825841999998</v>
      </c>
      <c r="M18" s="197">
        <f t="shared" si="5"/>
        <v>47860.084999999999</v>
      </c>
      <c r="N18" s="197">
        <f t="shared" si="6"/>
        <v>869519.26690976229</v>
      </c>
    </row>
    <row r="19" spans="1:15" ht="15" customHeight="1">
      <c r="A19" s="190">
        <v>11</v>
      </c>
      <c r="B19" s="198" t="s">
        <v>50</v>
      </c>
      <c r="C19" s="199" t="s">
        <v>28</v>
      </c>
      <c r="D19" s="201" t="s">
        <v>124</v>
      </c>
      <c r="E19" s="202">
        <v>4.1399999999999999E-2</v>
      </c>
      <c r="F19" s="194">
        <v>852471.15298754966</v>
      </c>
      <c r="G19" s="208">
        <v>370000</v>
      </c>
      <c r="H19" s="196">
        <f t="shared" si="0"/>
        <v>482471.15298754966</v>
      </c>
      <c r="I19" s="196">
        <f t="shared" si="1"/>
        <v>12061.778824688743</v>
      </c>
      <c r="J19" s="196">
        <f t="shared" si="2"/>
        <v>0</v>
      </c>
      <c r="K19" s="196">
        <f t="shared" si="3"/>
        <v>3061.8197999999998</v>
      </c>
      <c r="L19" s="197">
        <f t="shared" si="4"/>
        <v>64780.996931999995</v>
      </c>
      <c r="M19" s="197">
        <f t="shared" si="5"/>
        <v>55192.409999999996</v>
      </c>
      <c r="N19" s="197">
        <f t="shared" si="6"/>
        <v>617568.15854423842</v>
      </c>
    </row>
    <row r="20" spans="1:15" ht="15" customHeight="1">
      <c r="A20" s="52">
        <v>12</v>
      </c>
      <c r="B20" s="42" t="s">
        <v>51</v>
      </c>
      <c r="C20" s="104" t="s">
        <v>130</v>
      </c>
      <c r="D20" s="99" t="s">
        <v>139</v>
      </c>
      <c r="E20" s="47">
        <v>5.3499999999999999E-2</v>
      </c>
      <c r="F20" s="17">
        <v>348765.06888837495</v>
      </c>
      <c r="G20" s="207">
        <f>F20</f>
        <v>348765.06888837495</v>
      </c>
      <c r="H20" s="25">
        <f t="shared" si="0"/>
        <v>0</v>
      </c>
      <c r="I20" s="25">
        <f t="shared" si="1"/>
        <v>0</v>
      </c>
      <c r="J20" s="25">
        <f t="shared" si="2"/>
        <v>0</v>
      </c>
      <c r="K20" s="25">
        <f t="shared" si="3"/>
        <v>3956.6994999999997</v>
      </c>
      <c r="L20" s="26">
        <f t="shared" si="4"/>
        <v>83714.573329999999</v>
      </c>
      <c r="M20" s="26">
        <f t="shared" si="5"/>
        <v>71323.524999999994</v>
      </c>
      <c r="N20" s="26">
        <f t="shared" si="6"/>
        <v>158994.79783</v>
      </c>
    </row>
    <row r="21" spans="1:15" ht="15" customHeight="1">
      <c r="A21" s="190">
        <v>13</v>
      </c>
      <c r="B21" s="198" t="s">
        <v>52</v>
      </c>
      <c r="C21" s="199" t="s">
        <v>30</v>
      </c>
      <c r="D21" s="199"/>
      <c r="E21" s="200">
        <v>3.85E-2</v>
      </c>
      <c r="F21" s="194">
        <v>250980.47013462501</v>
      </c>
      <c r="G21" s="208"/>
      <c r="H21" s="196">
        <f t="shared" si="0"/>
        <v>250980.47013462501</v>
      </c>
      <c r="I21" s="196">
        <f t="shared" si="1"/>
        <v>6274.5117533656257</v>
      </c>
      <c r="J21" s="196">
        <f t="shared" si="2"/>
        <v>0</v>
      </c>
      <c r="K21" s="196">
        <f t="shared" si="3"/>
        <v>2847.3445000000002</v>
      </c>
      <c r="L21" s="197">
        <f t="shared" si="4"/>
        <v>60243.197629999995</v>
      </c>
      <c r="M21" s="197">
        <f t="shared" si="5"/>
        <v>51326.275000000001</v>
      </c>
      <c r="N21" s="197">
        <f t="shared" si="6"/>
        <v>371671.79901799065</v>
      </c>
    </row>
    <row r="22" spans="1:15" ht="15" customHeight="1">
      <c r="A22" s="52">
        <v>14</v>
      </c>
      <c r="B22" s="41" t="s">
        <v>53</v>
      </c>
      <c r="C22" s="96" t="s">
        <v>31</v>
      </c>
      <c r="D22" s="96" t="s">
        <v>125</v>
      </c>
      <c r="E22" s="48">
        <v>3.5900000000000001E-2</v>
      </c>
      <c r="F22" s="17">
        <v>97399.328238999995</v>
      </c>
      <c r="G22" s="207">
        <f>F22</f>
        <v>97399.328238999995</v>
      </c>
      <c r="H22" s="25">
        <f t="shared" si="0"/>
        <v>0</v>
      </c>
      <c r="I22" s="25">
        <f t="shared" si="1"/>
        <v>0</v>
      </c>
      <c r="J22" s="25">
        <f t="shared" si="2"/>
        <v>0</v>
      </c>
      <c r="K22" s="25">
        <f t="shared" si="3"/>
        <v>2655.0563000000002</v>
      </c>
      <c r="L22" s="26">
        <f t="shared" si="4"/>
        <v>56174.825841999998</v>
      </c>
      <c r="M22" s="26">
        <f t="shared" si="5"/>
        <v>47860.084999999999</v>
      </c>
      <c r="N22" s="26">
        <f t="shared" si="6"/>
        <v>106689.96714200001</v>
      </c>
    </row>
    <row r="23" spans="1:15" ht="15" customHeight="1">
      <c r="A23" s="52">
        <v>15</v>
      </c>
      <c r="B23" s="43" t="s">
        <v>54</v>
      </c>
      <c r="C23" s="97" t="s">
        <v>32</v>
      </c>
      <c r="D23" s="97" t="s">
        <v>126</v>
      </c>
      <c r="E23" s="49">
        <v>4.1399999999999999E-2</v>
      </c>
      <c r="F23" s="17">
        <v>112321.23089399999</v>
      </c>
      <c r="G23" s="207">
        <f>F23</f>
        <v>112321.23089399999</v>
      </c>
      <c r="H23" s="25">
        <f t="shared" si="0"/>
        <v>0</v>
      </c>
      <c r="I23" s="25">
        <f t="shared" si="1"/>
        <v>0</v>
      </c>
      <c r="J23" s="25">
        <f t="shared" si="2"/>
        <v>0</v>
      </c>
      <c r="K23" s="25">
        <f t="shared" si="3"/>
        <v>3061.8197999999998</v>
      </c>
      <c r="L23" s="26">
        <f t="shared" si="4"/>
        <v>64780.996931999995</v>
      </c>
      <c r="M23" s="26">
        <f t="shared" si="5"/>
        <v>55192.409999999996</v>
      </c>
      <c r="N23" s="26">
        <f t="shared" si="6"/>
        <v>123035.22673199998</v>
      </c>
    </row>
    <row r="24" spans="1:15" ht="15" customHeight="1">
      <c r="A24" s="52">
        <v>16</v>
      </c>
      <c r="B24" s="44" t="s">
        <v>55</v>
      </c>
      <c r="C24" s="98" t="s">
        <v>33</v>
      </c>
      <c r="D24" s="98"/>
      <c r="E24" s="50">
        <v>5.3499999999999999E-2</v>
      </c>
      <c r="F24" s="17">
        <v>145149.41673499998</v>
      </c>
      <c r="G24" s="207">
        <f>F24</f>
        <v>145149.41673499998</v>
      </c>
      <c r="H24" s="25">
        <f t="shared" si="0"/>
        <v>0</v>
      </c>
      <c r="I24" s="25">
        <f t="shared" si="1"/>
        <v>0</v>
      </c>
      <c r="J24" s="25">
        <f t="shared" si="2"/>
        <v>0</v>
      </c>
      <c r="K24" s="25">
        <f t="shared" si="3"/>
        <v>3956.6994999999997</v>
      </c>
      <c r="L24" s="26">
        <f t="shared" si="4"/>
        <v>83714.573329999999</v>
      </c>
      <c r="M24" s="26">
        <f t="shared" si="5"/>
        <v>71323.524999999994</v>
      </c>
      <c r="N24" s="26">
        <f t="shared" si="6"/>
        <v>158994.79783</v>
      </c>
    </row>
    <row r="25" spans="1:15" s="1" customFormat="1" ht="15.75" customHeight="1">
      <c r="A25" s="52">
        <v>17</v>
      </c>
      <c r="B25" s="68" t="s">
        <v>56</v>
      </c>
      <c r="C25" s="98" t="s">
        <v>105</v>
      </c>
      <c r="D25" s="98" t="s">
        <v>127</v>
      </c>
      <c r="E25" s="50">
        <v>3.85E-2</v>
      </c>
      <c r="F25" s="17">
        <v>104453.318585</v>
      </c>
      <c r="G25" s="207">
        <f t="shared" ref="G25:G26" si="7">F25</f>
        <v>104453.318585</v>
      </c>
      <c r="H25" s="25">
        <f t="shared" si="0"/>
        <v>0</v>
      </c>
      <c r="I25" s="25">
        <f t="shared" si="1"/>
        <v>0</v>
      </c>
      <c r="J25" s="25">
        <f t="shared" si="2"/>
        <v>0</v>
      </c>
      <c r="K25" s="25">
        <f t="shared" si="3"/>
        <v>2847.3445000000002</v>
      </c>
      <c r="L25" s="26">
        <f t="shared" si="4"/>
        <v>60243.197629999995</v>
      </c>
      <c r="M25" s="26">
        <f t="shared" si="5"/>
        <v>51326.275000000001</v>
      </c>
      <c r="N25" s="26">
        <f t="shared" si="6"/>
        <v>114416.81713</v>
      </c>
    </row>
    <row r="26" spans="1:15" ht="15" customHeight="1">
      <c r="A26" s="52">
        <v>18</v>
      </c>
      <c r="B26" s="45" t="s">
        <v>57</v>
      </c>
      <c r="C26" s="98" t="s">
        <v>34</v>
      </c>
      <c r="D26" s="98"/>
      <c r="E26" s="50">
        <v>3.5900000000000001E-2</v>
      </c>
      <c r="F26" s="17">
        <v>97399.328238999995</v>
      </c>
      <c r="G26" s="207">
        <f t="shared" si="7"/>
        <v>97399.328238999995</v>
      </c>
      <c r="H26" s="25">
        <f t="shared" si="0"/>
        <v>0</v>
      </c>
      <c r="I26" s="25">
        <f t="shared" si="1"/>
        <v>0</v>
      </c>
      <c r="J26" s="25">
        <f t="shared" si="2"/>
        <v>0</v>
      </c>
      <c r="K26" s="25">
        <f t="shared" si="3"/>
        <v>2655.0563000000002</v>
      </c>
      <c r="L26" s="26">
        <f t="shared" si="4"/>
        <v>56174.825841999998</v>
      </c>
      <c r="M26" s="26">
        <f t="shared" si="5"/>
        <v>47860.084999999999</v>
      </c>
      <c r="N26" s="26">
        <f t="shared" si="6"/>
        <v>106689.96714200001</v>
      </c>
    </row>
    <row r="27" spans="1:15" ht="15" customHeight="1">
      <c r="A27" s="190">
        <v>19</v>
      </c>
      <c r="B27" s="191" t="s">
        <v>58</v>
      </c>
      <c r="C27" s="192" t="s">
        <v>35</v>
      </c>
      <c r="D27" s="192" t="s">
        <v>140</v>
      </c>
      <c r="E27" s="193">
        <v>4.1399999999999999E-2</v>
      </c>
      <c r="F27" s="194">
        <v>1884247.6250145391</v>
      </c>
      <c r="G27" s="208"/>
      <c r="H27" s="195">
        <f t="shared" si="0"/>
        <v>1884247.6250145391</v>
      </c>
      <c r="I27" s="196">
        <f t="shared" si="1"/>
        <v>47106.190625363481</v>
      </c>
      <c r="J27" s="196">
        <f t="shared" si="2"/>
        <v>0</v>
      </c>
      <c r="K27" s="196">
        <f t="shared" si="3"/>
        <v>3061.8197999999998</v>
      </c>
      <c r="L27" s="197">
        <f t="shared" si="4"/>
        <v>64780.996931999995</v>
      </c>
      <c r="M27" s="197">
        <f t="shared" si="5"/>
        <v>55192.409999999996</v>
      </c>
      <c r="N27" s="197">
        <f t="shared" si="6"/>
        <v>2054389.0423719024</v>
      </c>
    </row>
    <row r="28" spans="1:15" ht="17.25" customHeight="1">
      <c r="A28" s="52">
        <v>20</v>
      </c>
      <c r="B28" s="45" t="s">
        <v>59</v>
      </c>
      <c r="C28" s="98" t="s">
        <v>36</v>
      </c>
      <c r="D28" s="98"/>
      <c r="E28" s="50">
        <v>5.3499999999999999E-2</v>
      </c>
      <c r="F28" s="17">
        <v>231923.60667033412</v>
      </c>
      <c r="G28" s="207">
        <f>145149.416735+86774</f>
        <v>231923.41673500001</v>
      </c>
      <c r="H28" s="70">
        <f t="shared" si="0"/>
        <v>0.189935334114125</v>
      </c>
      <c r="I28" s="25">
        <f t="shared" si="1"/>
        <v>4.7483833528531253E-3</v>
      </c>
      <c r="J28" s="25">
        <f t="shared" si="2"/>
        <v>0</v>
      </c>
      <c r="K28" s="25"/>
      <c r="L28" s="26">
        <f t="shared" si="4"/>
        <v>83714.573329999999</v>
      </c>
      <c r="M28" s="26">
        <f t="shared" si="5"/>
        <v>71323.524999999994</v>
      </c>
      <c r="N28" s="26">
        <f t="shared" si="6"/>
        <v>155038.29301371746</v>
      </c>
    </row>
    <row r="29" spans="1:15" ht="15" customHeight="1">
      <c r="A29" s="52">
        <v>21</v>
      </c>
      <c r="B29" s="44" t="s">
        <v>60</v>
      </c>
      <c r="C29" s="98" t="s">
        <v>114</v>
      </c>
      <c r="D29" s="98"/>
      <c r="E29" s="50">
        <v>3.85E-2</v>
      </c>
      <c r="F29" s="17">
        <v>104453.318585</v>
      </c>
      <c r="G29" s="207">
        <f>F29</f>
        <v>104453.318585</v>
      </c>
      <c r="H29" s="25">
        <f t="shared" si="0"/>
        <v>0</v>
      </c>
      <c r="I29" s="25">
        <f t="shared" si="1"/>
        <v>0</v>
      </c>
      <c r="J29" s="25">
        <f t="shared" si="2"/>
        <v>0</v>
      </c>
      <c r="K29" s="25">
        <f t="shared" si="3"/>
        <v>2847.3445000000002</v>
      </c>
      <c r="L29" s="26">
        <f t="shared" si="4"/>
        <v>60243.197629999995</v>
      </c>
      <c r="M29" s="26">
        <f t="shared" si="5"/>
        <v>51326.275000000001</v>
      </c>
      <c r="N29" s="26">
        <f t="shared" si="6"/>
        <v>114416.81713</v>
      </c>
      <c r="O29" s="7"/>
    </row>
    <row r="30" spans="1:15" ht="15" customHeight="1">
      <c r="A30" s="52">
        <v>22</v>
      </c>
      <c r="B30" s="44" t="s">
        <v>61</v>
      </c>
      <c r="C30" s="98" t="s">
        <v>137</v>
      </c>
      <c r="D30" s="98" t="s">
        <v>146</v>
      </c>
      <c r="E30" s="50">
        <v>3.5900000000000001E-2</v>
      </c>
      <c r="F30" s="17">
        <v>97399.328238999995</v>
      </c>
      <c r="G30" s="207">
        <f>F30</f>
        <v>97399.328238999995</v>
      </c>
      <c r="H30" s="25">
        <f t="shared" si="0"/>
        <v>0</v>
      </c>
      <c r="I30" s="25">
        <f t="shared" si="1"/>
        <v>0</v>
      </c>
      <c r="J30" s="25">
        <f t="shared" si="2"/>
        <v>0</v>
      </c>
      <c r="K30" s="25">
        <f t="shared" si="3"/>
        <v>2655.0563000000002</v>
      </c>
      <c r="L30" s="26">
        <f t="shared" si="4"/>
        <v>56174.825841999998</v>
      </c>
      <c r="M30" s="26">
        <f t="shared" si="5"/>
        <v>47860.084999999999</v>
      </c>
      <c r="N30" s="26">
        <f t="shared" si="6"/>
        <v>106689.96714200001</v>
      </c>
    </row>
    <row r="31" spans="1:15" ht="15" customHeight="1">
      <c r="A31" s="52">
        <v>23</v>
      </c>
      <c r="B31" s="44" t="s">
        <v>62</v>
      </c>
      <c r="C31" s="98" t="s">
        <v>39</v>
      </c>
      <c r="D31" s="98"/>
      <c r="E31" s="50">
        <v>4.1399999999999999E-2</v>
      </c>
      <c r="F31" s="17">
        <v>112321.23089399999</v>
      </c>
      <c r="G31" s="207">
        <f>F31</f>
        <v>112321.23089399999</v>
      </c>
      <c r="H31" s="25">
        <f t="shared" si="0"/>
        <v>0</v>
      </c>
      <c r="I31" s="25">
        <f t="shared" si="1"/>
        <v>0</v>
      </c>
      <c r="J31" s="25">
        <f t="shared" si="2"/>
        <v>0</v>
      </c>
      <c r="K31" s="25">
        <f t="shared" si="3"/>
        <v>3061.8197999999998</v>
      </c>
      <c r="L31" s="26">
        <f t="shared" si="4"/>
        <v>64780.996931999995</v>
      </c>
      <c r="M31" s="26">
        <f t="shared" si="5"/>
        <v>55192.409999999996</v>
      </c>
      <c r="N31" s="26">
        <f t="shared" si="6"/>
        <v>123035.22673199998</v>
      </c>
    </row>
    <row r="32" spans="1:15" ht="15.75">
      <c r="A32" s="38"/>
      <c r="B32" s="53">
        <f>SUM(B9:B31)</f>
        <v>0</v>
      </c>
      <c r="C32" s="38"/>
      <c r="D32" s="38"/>
      <c r="E32" s="54">
        <f>SUM(E9:E31)</f>
        <v>1</v>
      </c>
      <c r="F32" s="55">
        <f>SUM(F9:F31)</f>
        <v>7710046.4746643957</v>
      </c>
      <c r="G32" s="102">
        <f>SUM(G9:G30)</f>
        <v>2408698.0954503752</v>
      </c>
      <c r="H32" s="129">
        <f>SUM(H9:H31)</f>
        <v>5189027.1483200192</v>
      </c>
      <c r="I32" s="55">
        <f>SUM(I9:I31)</f>
        <v>129725.67870800049</v>
      </c>
      <c r="J32" s="103">
        <f t="shared" ref="J32" si="8">SUM(J9:J31)</f>
        <v>0</v>
      </c>
      <c r="K32" s="93">
        <f>SUM(K9:K31)</f>
        <v>70000.300499999998</v>
      </c>
      <c r="L32" s="55">
        <f>SUM(L9:L31)</f>
        <v>1564758.3800000001</v>
      </c>
      <c r="M32" s="93">
        <f>SUM(M9:M31)</f>
        <v>1333149.9999999998</v>
      </c>
      <c r="N32" s="63">
        <f>SUM(N9:N31)</f>
        <v>8286661.5075280182</v>
      </c>
    </row>
    <row r="33" spans="1:14" ht="14.25" customHeight="1"/>
    <row r="34" spans="1:14" hidden="1"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</row>
    <row r="35" spans="1:14" hidden="1"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</row>
    <row r="36" spans="1:14" hidden="1"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</row>
    <row r="37" spans="1:14" hidden="1"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</row>
    <row r="38" spans="1:14">
      <c r="A38" s="189" t="s">
        <v>163</v>
      </c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</row>
    <row r="39" spans="1:14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</row>
    <row r="40" spans="1:14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55" t="s">
        <v>104</v>
      </c>
      <c r="B1" s="156"/>
      <c r="C1" s="156"/>
      <c r="D1" s="156"/>
      <c r="E1" s="156"/>
      <c r="F1" s="156"/>
      <c r="G1" s="157"/>
    </row>
    <row r="2" spans="1:7">
      <c r="A2" s="31"/>
      <c r="G2" s="32"/>
    </row>
    <row r="3" spans="1:7">
      <c r="A3" s="58"/>
      <c r="B3" s="60" t="s">
        <v>103</v>
      </c>
      <c r="G3" s="32"/>
    </row>
    <row r="4" spans="1:7">
      <c r="A4" s="59"/>
      <c r="B4" s="65">
        <v>400000</v>
      </c>
      <c r="D4" s="14"/>
      <c r="G4" s="32"/>
    </row>
    <row r="5" spans="1:7">
      <c r="A5" s="64"/>
      <c r="B5" s="33"/>
      <c r="C5" s="16"/>
      <c r="D5" s="69">
        <v>9508.5</v>
      </c>
      <c r="G5" s="32"/>
    </row>
    <row r="6" spans="1:7">
      <c r="A6" s="75"/>
      <c r="B6" s="66"/>
      <c r="C6" s="16"/>
      <c r="G6" s="32"/>
    </row>
    <row r="7" spans="1:7" ht="15.75" thickBot="1">
      <c r="A7" s="64"/>
      <c r="B7" s="33"/>
      <c r="C7" s="16"/>
      <c r="G7" s="32"/>
    </row>
    <row r="8" spans="1:7" ht="30.75" thickBot="1">
      <c r="A8" s="27" t="s">
        <v>0</v>
      </c>
      <c r="B8" s="28" t="s">
        <v>3</v>
      </c>
      <c r="C8" s="29" t="s">
        <v>1</v>
      </c>
      <c r="D8" s="74" t="s">
        <v>2</v>
      </c>
      <c r="E8" s="28" t="s">
        <v>15</v>
      </c>
      <c r="F8" s="77" t="s">
        <v>108</v>
      </c>
      <c r="G8" s="30" t="s">
        <v>8</v>
      </c>
    </row>
    <row r="9" spans="1:7">
      <c r="A9" s="51">
        <v>1</v>
      </c>
      <c r="B9" s="39" t="s">
        <v>40</v>
      </c>
      <c r="C9" s="34" t="s">
        <v>19</v>
      </c>
      <c r="D9" s="46">
        <v>4.0500000000000001E-2</v>
      </c>
      <c r="E9" s="73">
        <f>B$4*D9</f>
        <v>16200</v>
      </c>
      <c r="F9" s="73"/>
      <c r="G9" s="73" t="s">
        <v>110</v>
      </c>
    </row>
    <row r="10" spans="1:7">
      <c r="A10" s="52">
        <v>2</v>
      </c>
      <c r="B10" s="39" t="s">
        <v>41</v>
      </c>
      <c r="C10" s="34" t="s">
        <v>20</v>
      </c>
      <c r="D10" s="46">
        <v>6.4799999999999996E-2</v>
      </c>
      <c r="E10" s="73">
        <f t="shared" ref="E10:E31" si="0">B$4*D10</f>
        <v>25920</v>
      </c>
      <c r="F10" s="73"/>
      <c r="G10" s="73" t="s">
        <v>110</v>
      </c>
    </row>
    <row r="11" spans="1:7">
      <c r="A11" s="52">
        <v>3</v>
      </c>
      <c r="B11" s="39" t="s">
        <v>42</v>
      </c>
      <c r="C11" s="34" t="s">
        <v>21</v>
      </c>
      <c r="D11" s="46">
        <v>4.82E-2</v>
      </c>
      <c r="E11" s="73">
        <f t="shared" si="0"/>
        <v>19280</v>
      </c>
      <c r="F11" s="73"/>
      <c r="G11" s="73" t="s">
        <v>110</v>
      </c>
    </row>
    <row r="12" spans="1:7">
      <c r="A12" s="52">
        <v>4</v>
      </c>
      <c r="B12" s="40" t="s">
        <v>43</v>
      </c>
      <c r="C12" s="34" t="s">
        <v>22</v>
      </c>
      <c r="D12" s="46">
        <v>5.3499999999999999E-2</v>
      </c>
      <c r="E12" s="73">
        <f t="shared" si="0"/>
        <v>21400</v>
      </c>
      <c r="F12" s="73"/>
      <c r="G12" s="73" t="s">
        <v>110</v>
      </c>
    </row>
    <row r="13" spans="1:7">
      <c r="A13" s="52">
        <v>5</v>
      </c>
      <c r="B13" s="39" t="s">
        <v>44</v>
      </c>
      <c r="C13" s="35" t="s">
        <v>23</v>
      </c>
      <c r="D13" s="46">
        <v>3.85E-2</v>
      </c>
      <c r="E13" s="73">
        <f t="shared" si="0"/>
        <v>15400</v>
      </c>
      <c r="F13" s="73"/>
      <c r="G13" s="73" t="s">
        <v>110</v>
      </c>
    </row>
    <row r="14" spans="1:7">
      <c r="A14" s="52">
        <v>6</v>
      </c>
      <c r="B14" s="41" t="s">
        <v>45</v>
      </c>
      <c r="C14" s="35" t="s">
        <v>24</v>
      </c>
      <c r="D14" s="46">
        <v>3.5900000000000001E-2</v>
      </c>
      <c r="E14" s="73">
        <f t="shared" si="0"/>
        <v>14360</v>
      </c>
      <c r="F14" s="73">
        <f>E14*6.3%</f>
        <v>904.68</v>
      </c>
      <c r="G14" s="73">
        <f t="shared" ref="G14:G27" si="1">E14 +F14</f>
        <v>15264.68</v>
      </c>
    </row>
    <row r="15" spans="1:7">
      <c r="A15" s="52">
        <v>7</v>
      </c>
      <c r="B15" s="41" t="s">
        <v>46</v>
      </c>
      <c r="C15" s="35" t="s">
        <v>25</v>
      </c>
      <c r="D15" s="46">
        <v>4.1399999999999999E-2</v>
      </c>
      <c r="E15" s="73">
        <f t="shared" si="0"/>
        <v>16560</v>
      </c>
      <c r="F15" s="73"/>
      <c r="G15" s="73" t="s">
        <v>110</v>
      </c>
    </row>
    <row r="16" spans="1:7">
      <c r="A16" s="52">
        <v>8</v>
      </c>
      <c r="B16" s="41" t="s">
        <v>47</v>
      </c>
      <c r="C16" s="35" t="s">
        <v>80</v>
      </c>
      <c r="D16" s="46">
        <v>5.3499999999999999E-2</v>
      </c>
      <c r="E16" s="73">
        <f t="shared" si="0"/>
        <v>21400</v>
      </c>
      <c r="F16" s="73"/>
      <c r="G16" s="73" t="s">
        <v>110</v>
      </c>
    </row>
    <row r="17" spans="1:7">
      <c r="A17" s="52">
        <v>9</v>
      </c>
      <c r="B17" s="41" t="s">
        <v>48</v>
      </c>
      <c r="C17" s="35" t="s">
        <v>26</v>
      </c>
      <c r="D17" s="46">
        <v>3.85E-2</v>
      </c>
      <c r="E17" s="73">
        <f t="shared" si="0"/>
        <v>15400</v>
      </c>
      <c r="F17" s="73"/>
      <c r="G17" s="73" t="s">
        <v>110</v>
      </c>
    </row>
    <row r="18" spans="1:7">
      <c r="A18" s="52">
        <v>10</v>
      </c>
      <c r="B18" s="41" t="s">
        <v>49</v>
      </c>
      <c r="C18" s="35" t="s">
        <v>27</v>
      </c>
      <c r="D18" s="46">
        <v>3.5900000000000001E-2</v>
      </c>
      <c r="E18" s="73">
        <f t="shared" si="0"/>
        <v>14360</v>
      </c>
      <c r="F18" s="73"/>
      <c r="G18" s="73" t="s">
        <v>110</v>
      </c>
    </row>
    <row r="19" spans="1:7">
      <c r="A19" s="52">
        <v>11</v>
      </c>
      <c r="B19" s="41" t="s">
        <v>50</v>
      </c>
      <c r="C19" s="35" t="s">
        <v>28</v>
      </c>
      <c r="D19" s="46">
        <v>4.1399999999999999E-2</v>
      </c>
      <c r="E19" s="73">
        <f t="shared" si="0"/>
        <v>16560</v>
      </c>
      <c r="F19" s="73">
        <f>E19*6.3%</f>
        <v>1043.28</v>
      </c>
      <c r="G19" s="73">
        <f t="shared" si="1"/>
        <v>17603.28</v>
      </c>
    </row>
    <row r="20" spans="1:7">
      <c r="A20" s="52">
        <v>12</v>
      </c>
      <c r="B20" s="42" t="s">
        <v>51</v>
      </c>
      <c r="C20" s="36" t="s">
        <v>29</v>
      </c>
      <c r="D20" s="47">
        <v>5.3499999999999999E-2</v>
      </c>
      <c r="E20" s="73">
        <f t="shared" si="0"/>
        <v>21400</v>
      </c>
      <c r="F20" s="73"/>
      <c r="G20" s="73" t="s">
        <v>110</v>
      </c>
    </row>
    <row r="21" spans="1:7">
      <c r="A21" s="52">
        <v>13</v>
      </c>
      <c r="B21" s="41" t="s">
        <v>52</v>
      </c>
      <c r="C21" s="35" t="s">
        <v>30</v>
      </c>
      <c r="D21" s="48">
        <v>3.85E-2</v>
      </c>
      <c r="E21" s="73">
        <f t="shared" si="0"/>
        <v>15400</v>
      </c>
      <c r="F21" s="73"/>
      <c r="G21" s="73" t="s">
        <v>110</v>
      </c>
    </row>
    <row r="22" spans="1:7">
      <c r="A22" s="52">
        <v>14</v>
      </c>
      <c r="B22" s="41" t="s">
        <v>53</v>
      </c>
      <c r="C22" s="35" t="s">
        <v>31</v>
      </c>
      <c r="D22" s="48">
        <v>3.5900000000000001E-2</v>
      </c>
      <c r="E22" s="73">
        <f t="shared" si="0"/>
        <v>14360</v>
      </c>
      <c r="F22" s="73"/>
      <c r="G22" s="73" t="s">
        <v>110</v>
      </c>
    </row>
    <row r="23" spans="1:7">
      <c r="A23" s="52">
        <v>15</v>
      </c>
      <c r="B23" s="43" t="s">
        <v>54</v>
      </c>
      <c r="C23" s="37" t="s">
        <v>32</v>
      </c>
      <c r="D23" s="49">
        <v>4.1399999999999999E-2</v>
      </c>
      <c r="E23" s="73">
        <f t="shared" si="0"/>
        <v>16560</v>
      </c>
      <c r="F23" s="73"/>
      <c r="G23" s="73" t="s">
        <v>110</v>
      </c>
    </row>
    <row r="24" spans="1:7" ht="15.75">
      <c r="A24" s="52">
        <v>16</v>
      </c>
      <c r="B24" s="44" t="s">
        <v>55</v>
      </c>
      <c r="C24" s="67" t="s">
        <v>33</v>
      </c>
      <c r="D24" s="50">
        <v>5.3499999999999999E-2</v>
      </c>
      <c r="E24" s="73">
        <f t="shared" si="0"/>
        <v>21400</v>
      </c>
      <c r="F24" s="73"/>
      <c r="G24" s="73" t="s">
        <v>110</v>
      </c>
    </row>
    <row r="25" spans="1:7" ht="15.75">
      <c r="A25" s="52">
        <v>17</v>
      </c>
      <c r="B25" s="68" t="s">
        <v>56</v>
      </c>
      <c r="C25" s="67" t="s">
        <v>105</v>
      </c>
      <c r="D25" s="50">
        <v>3.85E-2</v>
      </c>
      <c r="E25" s="73">
        <f t="shared" si="0"/>
        <v>15400</v>
      </c>
      <c r="F25" s="73"/>
      <c r="G25" s="73" t="s">
        <v>110</v>
      </c>
    </row>
    <row r="26" spans="1:7" ht="15.75">
      <c r="A26" s="52">
        <v>18</v>
      </c>
      <c r="B26" s="45" t="s">
        <v>57</v>
      </c>
      <c r="C26" s="67" t="s">
        <v>34</v>
      </c>
      <c r="D26" s="50">
        <v>3.5900000000000001E-2</v>
      </c>
      <c r="E26" s="73">
        <f t="shared" si="0"/>
        <v>14360</v>
      </c>
      <c r="F26" s="73"/>
      <c r="G26" s="73" t="s">
        <v>110</v>
      </c>
    </row>
    <row r="27" spans="1:7" ht="15.75">
      <c r="A27" s="52">
        <v>19</v>
      </c>
      <c r="B27" s="44" t="s">
        <v>58</v>
      </c>
      <c r="C27" s="67" t="s">
        <v>35</v>
      </c>
      <c r="D27" s="50">
        <v>4.1399999999999999E-2</v>
      </c>
      <c r="E27" s="73">
        <f t="shared" si="0"/>
        <v>16560</v>
      </c>
      <c r="F27" s="73">
        <f>E27*6.3%</f>
        <v>1043.28</v>
      </c>
      <c r="G27" s="73">
        <f t="shared" si="1"/>
        <v>17603.28</v>
      </c>
    </row>
    <row r="28" spans="1:7" ht="15.75">
      <c r="A28" s="52">
        <v>20</v>
      </c>
      <c r="B28" s="45" t="s">
        <v>59</v>
      </c>
      <c r="C28" s="67" t="s">
        <v>36</v>
      </c>
      <c r="D28" s="50">
        <v>5.3499999999999999E-2</v>
      </c>
      <c r="E28" s="73">
        <f t="shared" si="0"/>
        <v>21400</v>
      </c>
      <c r="F28" s="73"/>
      <c r="G28" s="73" t="s">
        <v>110</v>
      </c>
    </row>
    <row r="29" spans="1:7" ht="15.75">
      <c r="A29" s="52">
        <v>21</v>
      </c>
      <c r="B29" s="44" t="s">
        <v>60</v>
      </c>
      <c r="C29" s="67" t="s">
        <v>37</v>
      </c>
      <c r="D29" s="50">
        <v>3.85E-2</v>
      </c>
      <c r="E29" s="73">
        <f t="shared" si="0"/>
        <v>15400</v>
      </c>
      <c r="F29" s="73"/>
      <c r="G29" s="73" t="s">
        <v>110</v>
      </c>
    </row>
    <row r="30" spans="1:7" ht="15.75">
      <c r="A30" s="52">
        <v>22</v>
      </c>
      <c r="B30" s="44" t="s">
        <v>61</v>
      </c>
      <c r="C30" s="67" t="s">
        <v>38</v>
      </c>
      <c r="D30" s="50">
        <v>3.5900000000000001E-2</v>
      </c>
      <c r="E30" s="73">
        <f t="shared" si="0"/>
        <v>14360</v>
      </c>
      <c r="F30" s="73"/>
      <c r="G30" s="73" t="s">
        <v>110</v>
      </c>
    </row>
    <row r="31" spans="1:7" ht="15.75">
      <c r="A31" s="52">
        <v>23</v>
      </c>
      <c r="B31" s="44" t="s">
        <v>62</v>
      </c>
      <c r="C31" s="67" t="s">
        <v>39</v>
      </c>
      <c r="D31" s="50">
        <v>4.1399999999999999E-2</v>
      </c>
      <c r="E31" s="73">
        <f t="shared" si="0"/>
        <v>16560</v>
      </c>
      <c r="F31" s="73"/>
      <c r="G31" s="73" t="s">
        <v>110</v>
      </c>
    </row>
    <row r="32" spans="1:7" ht="15.75">
      <c r="A32" s="38"/>
      <c r="B32" s="53">
        <f>SUM(B9:B31)</f>
        <v>0</v>
      </c>
      <c r="C32" s="38"/>
      <c r="D32" s="54">
        <f>SUM(D9:D31)</f>
        <v>1</v>
      </c>
      <c r="E32" s="55">
        <f>SUM(E9:E31)</f>
        <v>400000</v>
      </c>
      <c r="F32" s="55"/>
      <c r="G32" s="55"/>
    </row>
    <row r="34" spans="3:5" ht="13.5" customHeight="1">
      <c r="C34" s="80" t="s">
        <v>109</v>
      </c>
      <c r="D34" s="78"/>
      <c r="E34" s="79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topLeftCell="A63" zoomScaleNormal="100" workbookViewId="0">
      <selection activeCell="H15" sqref="A15:H76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8"/>
      <c r="B1" s="3"/>
      <c r="C1" s="3"/>
      <c r="D1" s="3"/>
      <c r="E1" s="3"/>
      <c r="F1" s="3"/>
      <c r="G1" s="3"/>
      <c r="H1" s="9"/>
    </row>
    <row r="2" spans="1:8" ht="48" customHeight="1">
      <c r="A2" s="10"/>
      <c r="D2" s="181"/>
      <c r="E2" s="182"/>
      <c r="F2" s="182"/>
      <c r="G2" s="182"/>
      <c r="H2" s="183"/>
    </row>
    <row r="3" spans="1:8">
      <c r="A3" s="10"/>
      <c r="D3" s="14" t="s">
        <v>6</v>
      </c>
      <c r="E3" s="166">
        <v>1153202676</v>
      </c>
      <c r="F3" s="166"/>
      <c r="G3" s="166"/>
      <c r="H3" s="167"/>
    </row>
    <row r="4" spans="1:8">
      <c r="A4" s="10"/>
      <c r="D4" s="14" t="s">
        <v>4</v>
      </c>
      <c r="E4" s="56" t="s">
        <v>66</v>
      </c>
      <c r="H4" s="11"/>
    </row>
    <row r="5" spans="1:8">
      <c r="A5" s="10"/>
      <c r="D5" s="14" t="s">
        <v>18</v>
      </c>
      <c r="E5" s="57">
        <v>30707328890</v>
      </c>
      <c r="H5" s="11"/>
    </row>
    <row r="6" spans="1:8">
      <c r="A6" s="10"/>
      <c r="D6" s="14" t="s">
        <v>9</v>
      </c>
      <c r="G6" t="s">
        <v>129</v>
      </c>
      <c r="H6" s="11"/>
    </row>
    <row r="7" spans="1:8">
      <c r="A7" s="10"/>
      <c r="H7" s="11"/>
    </row>
    <row r="8" spans="1:8" s="5" customFormat="1" ht="18.75">
      <c r="A8" s="18" t="s">
        <v>5</v>
      </c>
      <c r="B8" s="19"/>
      <c r="C8" s="19"/>
      <c r="D8" s="19"/>
      <c r="E8" s="19" t="s">
        <v>67</v>
      </c>
      <c r="F8" s="92" t="s">
        <v>147</v>
      </c>
      <c r="G8" s="20"/>
      <c r="H8" s="21"/>
    </row>
    <row r="9" spans="1:8">
      <c r="A9" s="8"/>
      <c r="B9" s="3"/>
      <c r="C9" s="3"/>
      <c r="D9" s="3"/>
      <c r="E9" s="3"/>
      <c r="F9" s="3"/>
      <c r="G9" s="3"/>
      <c r="H9" s="9"/>
    </row>
    <row r="10" spans="1:8">
      <c r="A10" s="15" t="s">
        <v>14</v>
      </c>
      <c r="E10" s="14" t="s">
        <v>13</v>
      </c>
      <c r="H10" s="11"/>
    </row>
    <row r="11" spans="1:8" ht="14.25" customHeight="1">
      <c r="A11" s="15"/>
      <c r="E11" s="14"/>
      <c r="H11" s="11"/>
    </row>
    <row r="12" spans="1:8" ht="67.5" hidden="1" customHeight="1">
      <c r="A12" s="184"/>
      <c r="B12" s="159"/>
      <c r="C12" s="159"/>
      <c r="D12" s="159"/>
      <c r="E12" s="159"/>
      <c r="F12" s="159"/>
      <c r="G12" s="159"/>
      <c r="H12" s="185"/>
    </row>
    <row r="13" spans="1:8" ht="13.5" customHeight="1">
      <c r="A13" s="12"/>
      <c r="B13" s="4"/>
      <c r="C13" s="4"/>
      <c r="D13" s="4"/>
      <c r="E13" s="4"/>
      <c r="F13" s="4"/>
      <c r="G13" s="4"/>
      <c r="H13" s="13"/>
    </row>
    <row r="14" spans="1:8" ht="15.75">
      <c r="A14" s="172" t="s">
        <v>138</v>
      </c>
      <c r="B14" s="172"/>
      <c r="C14" s="172"/>
      <c r="D14" s="172"/>
      <c r="E14" s="172"/>
      <c r="F14" s="172"/>
      <c r="G14" s="172"/>
      <c r="H14" s="172"/>
    </row>
    <row r="15" spans="1:8">
      <c r="A15" s="209" t="s">
        <v>69</v>
      </c>
      <c r="B15" s="210"/>
      <c r="C15" s="210"/>
      <c r="D15" s="210"/>
      <c r="E15" s="210"/>
      <c r="F15" s="210"/>
      <c r="G15" s="210"/>
      <c r="H15" s="211">
        <v>194212.8</v>
      </c>
    </row>
    <row r="16" spans="1:8">
      <c r="A16" s="209" t="s">
        <v>94</v>
      </c>
      <c r="B16" s="210"/>
      <c r="C16" s="210"/>
      <c r="D16" s="210"/>
      <c r="E16" s="210"/>
      <c r="F16" s="210"/>
      <c r="G16" s="210"/>
      <c r="H16" s="212">
        <v>23811.3</v>
      </c>
    </row>
    <row r="17" spans="1:9" ht="14.25" customHeight="1">
      <c r="A17" s="209" t="s">
        <v>95</v>
      </c>
      <c r="B17" s="210"/>
      <c r="C17" s="210"/>
      <c r="D17" s="210"/>
      <c r="E17" s="210"/>
      <c r="F17" s="210"/>
      <c r="G17" s="210"/>
      <c r="H17" s="212">
        <v>33304</v>
      </c>
    </row>
    <row r="18" spans="1:9">
      <c r="A18" s="209" t="s">
        <v>161</v>
      </c>
      <c r="B18" s="210"/>
      <c r="C18" s="210"/>
      <c r="D18" s="210"/>
      <c r="E18" s="210"/>
      <c r="F18" s="210"/>
      <c r="G18" s="210"/>
      <c r="H18" s="212">
        <v>6666.67</v>
      </c>
    </row>
    <row r="19" spans="1:9">
      <c r="A19" s="209" t="s">
        <v>92</v>
      </c>
      <c r="B19" s="210"/>
      <c r="C19" s="210"/>
      <c r="D19" s="210"/>
      <c r="E19" s="210"/>
      <c r="F19" s="210"/>
      <c r="G19" s="210"/>
      <c r="H19" s="212">
        <v>-40634.18</v>
      </c>
      <c r="I19" s="7"/>
    </row>
    <row r="20" spans="1:9">
      <c r="A20" s="209" t="s">
        <v>132</v>
      </c>
      <c r="B20" s="210"/>
      <c r="C20" s="210"/>
      <c r="D20" s="210"/>
      <c r="E20" s="210"/>
      <c r="F20" s="210"/>
      <c r="G20" s="210"/>
      <c r="H20" s="212">
        <v>0.41</v>
      </c>
      <c r="I20" s="7"/>
    </row>
    <row r="21" spans="1:9">
      <c r="A21" s="209" t="s">
        <v>78</v>
      </c>
      <c r="B21" s="210"/>
      <c r="C21" s="210"/>
      <c r="D21" s="210"/>
      <c r="E21" s="210"/>
      <c r="F21" s="210"/>
      <c r="G21" s="210"/>
      <c r="H21" s="212">
        <f>SUM(H15:H20)</f>
        <v>217361</v>
      </c>
      <c r="I21" s="7"/>
    </row>
    <row r="22" spans="1:9" ht="0.75" customHeight="1">
      <c r="A22" s="213" t="s">
        <v>142</v>
      </c>
      <c r="B22" s="214"/>
      <c r="C22" s="214"/>
      <c r="D22" s="214"/>
      <c r="E22" s="214"/>
      <c r="F22" s="214"/>
      <c r="G22" s="214"/>
      <c r="H22" s="215"/>
    </row>
    <row r="23" spans="1:9" hidden="1">
      <c r="A23" s="209" t="s">
        <v>142</v>
      </c>
      <c r="B23" s="210"/>
      <c r="C23" s="210"/>
      <c r="D23" s="210"/>
      <c r="E23" s="210"/>
      <c r="F23" s="210"/>
      <c r="G23" s="210"/>
      <c r="H23" s="216"/>
    </row>
    <row r="24" spans="1:9" hidden="1">
      <c r="A24" s="209"/>
      <c r="B24" s="210"/>
      <c r="C24" s="210"/>
      <c r="D24" s="210"/>
      <c r="E24" s="210"/>
      <c r="F24" s="210"/>
      <c r="G24" s="210"/>
      <c r="H24" s="216">
        <v>0</v>
      </c>
    </row>
    <row r="25" spans="1:9" hidden="1">
      <c r="A25" s="209"/>
      <c r="B25" s="210"/>
      <c r="C25" s="210"/>
      <c r="D25" s="210"/>
      <c r="E25" s="210"/>
      <c r="F25" s="210"/>
      <c r="G25" s="210"/>
      <c r="H25" s="216">
        <v>0</v>
      </c>
    </row>
    <row r="26" spans="1:9" hidden="1">
      <c r="A26" s="209"/>
      <c r="B26" s="210"/>
      <c r="C26" s="210"/>
      <c r="D26" s="210"/>
      <c r="E26" s="210"/>
      <c r="F26" s="210"/>
      <c r="G26" s="210"/>
      <c r="H26" s="216">
        <v>0</v>
      </c>
    </row>
    <row r="27" spans="1:9" hidden="1">
      <c r="A27" s="209" t="s">
        <v>143</v>
      </c>
      <c r="B27" s="210"/>
      <c r="C27" s="210"/>
      <c r="D27" s="210"/>
      <c r="E27" s="210"/>
      <c r="F27" s="210"/>
      <c r="G27" s="210"/>
      <c r="H27" s="216"/>
    </row>
    <row r="28" spans="1:9" hidden="1">
      <c r="A28" s="209" t="s">
        <v>92</v>
      </c>
      <c r="B28" s="210"/>
      <c r="C28" s="210"/>
      <c r="D28" s="210"/>
      <c r="E28" s="210"/>
      <c r="F28" s="210"/>
      <c r="G28" s="210"/>
      <c r="H28" s="216"/>
    </row>
    <row r="29" spans="1:9" hidden="1">
      <c r="A29" s="209" t="s">
        <v>78</v>
      </c>
      <c r="B29" s="210"/>
      <c r="C29" s="210"/>
      <c r="D29" s="210"/>
      <c r="E29" s="210"/>
      <c r="F29" s="210"/>
      <c r="G29" s="210"/>
      <c r="H29" s="217">
        <f>SUM(H23:H28)</f>
        <v>0</v>
      </c>
    </row>
    <row r="30" spans="1:9">
      <c r="A30" s="218" t="s">
        <v>158</v>
      </c>
      <c r="B30" s="219"/>
      <c r="C30" s="219"/>
      <c r="D30" s="219"/>
      <c r="E30" s="219"/>
      <c r="F30" s="219"/>
      <c r="G30" s="219"/>
      <c r="H30" s="220"/>
    </row>
    <row r="31" spans="1:9">
      <c r="A31" s="81" t="s">
        <v>159</v>
      </c>
      <c r="B31" s="82"/>
      <c r="C31" s="82"/>
      <c r="D31" s="82"/>
      <c r="E31" s="82"/>
      <c r="F31" s="82"/>
      <c r="G31" s="82"/>
      <c r="H31" s="76">
        <v>25500</v>
      </c>
    </row>
    <row r="32" spans="1:9">
      <c r="A32" s="81" t="s">
        <v>160</v>
      </c>
      <c r="B32" s="82"/>
      <c r="C32" s="82"/>
      <c r="D32" s="82"/>
      <c r="E32" s="82"/>
      <c r="F32" s="82"/>
      <c r="G32" s="82"/>
      <c r="H32" s="76">
        <v>3567.21</v>
      </c>
    </row>
    <row r="33" spans="1:8">
      <c r="A33" s="81" t="s">
        <v>93</v>
      </c>
      <c r="B33" s="82"/>
      <c r="C33" s="82"/>
      <c r="D33" s="82"/>
      <c r="E33" s="82"/>
      <c r="F33" s="82"/>
      <c r="G33" s="82"/>
      <c r="H33" s="76">
        <f>SUM(H31:H32)</f>
        <v>29067.21</v>
      </c>
    </row>
    <row r="34" spans="1:8" ht="14.25" customHeight="1">
      <c r="A34" s="221" t="s">
        <v>96</v>
      </c>
      <c r="B34" s="222"/>
      <c r="C34" s="222"/>
      <c r="D34" s="222"/>
      <c r="E34" s="222"/>
      <c r="F34" s="222"/>
      <c r="G34" s="222"/>
      <c r="H34" s="223"/>
    </row>
    <row r="35" spans="1:8" hidden="1">
      <c r="A35" s="209"/>
      <c r="B35" s="210"/>
      <c r="C35" s="210"/>
      <c r="D35" s="210"/>
      <c r="E35" s="210"/>
      <c r="F35" s="210"/>
      <c r="G35" s="210"/>
      <c r="H35" s="212"/>
    </row>
    <row r="36" spans="1:8">
      <c r="A36" s="209" t="s">
        <v>85</v>
      </c>
      <c r="B36" s="224"/>
      <c r="C36" s="210"/>
      <c r="D36" s="210"/>
      <c r="E36" s="210"/>
      <c r="F36" s="210"/>
      <c r="G36" s="210"/>
      <c r="H36" s="212">
        <f>25587.5+11216.54+1246.28</f>
        <v>38050.32</v>
      </c>
    </row>
    <row r="37" spans="1:8">
      <c r="A37" s="81" t="s">
        <v>70</v>
      </c>
      <c r="B37" s="82"/>
      <c r="C37" s="82"/>
      <c r="D37" s="82"/>
      <c r="E37" s="82"/>
      <c r="F37" s="82"/>
      <c r="G37" s="82"/>
      <c r="H37" s="128">
        <v>0</v>
      </c>
    </row>
    <row r="38" spans="1:8">
      <c r="A38" s="81" t="s">
        <v>77</v>
      </c>
      <c r="B38" s="82"/>
      <c r="C38" s="82"/>
      <c r="D38" s="82"/>
      <c r="E38" s="82"/>
      <c r="F38" s="82"/>
      <c r="G38" s="82"/>
      <c r="H38" s="76">
        <f>SUM(H35:H37)</f>
        <v>38050.32</v>
      </c>
    </row>
    <row r="39" spans="1:8">
      <c r="A39" s="225" t="s">
        <v>97</v>
      </c>
      <c r="B39" s="226"/>
      <c r="C39" s="226"/>
      <c r="D39" s="226"/>
      <c r="E39" s="226"/>
      <c r="F39" s="226"/>
      <c r="G39" s="226"/>
      <c r="H39" s="227"/>
    </row>
    <row r="40" spans="1:8" hidden="1">
      <c r="A40" s="228"/>
      <c r="B40" s="210"/>
      <c r="C40" s="210"/>
      <c r="D40" s="210"/>
      <c r="E40" s="210"/>
      <c r="F40" s="210"/>
      <c r="G40" s="210"/>
      <c r="H40" s="229"/>
    </row>
    <row r="41" spans="1:8" ht="14.25" customHeight="1">
      <c r="A41" s="228" t="s">
        <v>150</v>
      </c>
      <c r="B41" s="210"/>
      <c r="C41" s="210"/>
      <c r="D41" s="210"/>
      <c r="E41" s="210"/>
      <c r="F41" s="210"/>
      <c r="G41" s="210"/>
      <c r="H41" s="212">
        <v>437399.85</v>
      </c>
    </row>
    <row r="42" spans="1:8">
      <c r="A42" s="230" t="s">
        <v>112</v>
      </c>
      <c r="B42" s="210"/>
      <c r="C42" s="210"/>
      <c r="D42" s="210"/>
      <c r="E42" s="210"/>
      <c r="F42" s="210"/>
      <c r="G42" s="210"/>
      <c r="H42" s="212">
        <v>39579.339999999997</v>
      </c>
    </row>
    <row r="43" spans="1:8">
      <c r="A43" s="228" t="s">
        <v>78</v>
      </c>
      <c r="B43" s="210"/>
      <c r="C43" s="210"/>
      <c r="D43" s="210"/>
      <c r="E43" s="210"/>
      <c r="F43" s="210"/>
      <c r="G43" s="210"/>
      <c r="H43" s="71">
        <f>SUM(H40:H42)</f>
        <v>476979.18999999994</v>
      </c>
    </row>
    <row r="44" spans="1:8">
      <c r="A44" s="172" t="s">
        <v>98</v>
      </c>
      <c r="B44" s="172"/>
      <c r="C44" s="172"/>
      <c r="D44" s="172"/>
      <c r="E44" s="172"/>
      <c r="F44" s="172"/>
      <c r="G44" s="172"/>
      <c r="H44" s="172"/>
    </row>
    <row r="45" spans="1:8">
      <c r="A45" s="231" t="s">
        <v>71</v>
      </c>
      <c r="B45" s="210"/>
      <c r="C45" s="210"/>
      <c r="D45" s="210"/>
      <c r="E45" s="210"/>
      <c r="F45" s="210"/>
      <c r="G45" s="210"/>
      <c r="H45" s="76">
        <v>47700</v>
      </c>
    </row>
    <row r="46" spans="1:8">
      <c r="A46" s="231" t="s">
        <v>152</v>
      </c>
      <c r="B46" s="210"/>
      <c r="C46" s="210"/>
      <c r="D46" s="210"/>
      <c r="E46" s="210"/>
      <c r="F46" s="210"/>
      <c r="G46" s="210"/>
      <c r="H46" s="76">
        <v>135000</v>
      </c>
    </row>
    <row r="47" spans="1:8">
      <c r="A47" s="228" t="s">
        <v>72</v>
      </c>
      <c r="B47" s="210"/>
      <c r="C47" s="210"/>
      <c r="D47" s="210"/>
      <c r="E47" s="210"/>
      <c r="F47" s="210"/>
      <c r="G47" s="210"/>
      <c r="H47" s="76">
        <v>17701.330000000002</v>
      </c>
    </row>
    <row r="48" spans="1:8">
      <c r="A48" s="228" t="s">
        <v>154</v>
      </c>
      <c r="B48" s="210"/>
      <c r="C48" s="210"/>
      <c r="D48" s="210"/>
      <c r="E48" s="210"/>
      <c r="F48" s="210"/>
      <c r="G48" s="210"/>
      <c r="H48" s="76">
        <v>105000</v>
      </c>
    </row>
    <row r="49" spans="1:11">
      <c r="A49" s="228" t="s">
        <v>151</v>
      </c>
      <c r="B49" s="210"/>
      <c r="C49" s="210"/>
      <c r="D49" s="210"/>
      <c r="E49" s="210"/>
      <c r="F49" s="210"/>
      <c r="G49" s="210"/>
      <c r="H49" s="76">
        <v>30000</v>
      </c>
    </row>
    <row r="50" spans="1:11">
      <c r="A50" s="228" t="s">
        <v>162</v>
      </c>
      <c r="B50" s="210"/>
      <c r="C50" s="210"/>
      <c r="D50" s="210"/>
      <c r="E50" s="210"/>
      <c r="F50" s="210"/>
      <c r="G50" s="210"/>
      <c r="H50" s="76">
        <v>79900</v>
      </c>
    </row>
    <row r="51" spans="1:11">
      <c r="A51" s="231" t="s">
        <v>155</v>
      </c>
      <c r="B51" s="210"/>
      <c r="C51" s="210"/>
      <c r="D51" s="210"/>
      <c r="E51" s="210"/>
      <c r="F51" s="210"/>
      <c r="G51" s="210"/>
      <c r="H51" s="76">
        <v>200200</v>
      </c>
    </row>
    <row r="52" spans="1:11">
      <c r="A52" s="228" t="s">
        <v>153</v>
      </c>
      <c r="B52" s="210"/>
      <c r="C52" s="210"/>
      <c r="D52" s="210"/>
      <c r="E52" s="210"/>
      <c r="F52" s="210"/>
      <c r="G52" s="210"/>
      <c r="H52" s="76">
        <v>13500</v>
      </c>
    </row>
    <row r="53" spans="1:11">
      <c r="A53" s="228" t="s">
        <v>78</v>
      </c>
      <c r="B53" s="210"/>
      <c r="C53" s="210"/>
      <c r="D53" s="210"/>
      <c r="E53" s="210"/>
      <c r="F53" s="210"/>
      <c r="G53" s="210"/>
      <c r="H53" s="72">
        <f>SUM(H45:H52)</f>
        <v>629001.33000000007</v>
      </c>
    </row>
    <row r="54" spans="1:11">
      <c r="A54" s="225" t="s">
        <v>99</v>
      </c>
      <c r="B54" s="226"/>
      <c r="C54" s="226"/>
      <c r="D54" s="226"/>
      <c r="E54" s="226"/>
      <c r="F54" s="226"/>
      <c r="G54" s="226"/>
      <c r="H54" s="227"/>
    </row>
    <row r="55" spans="1:11">
      <c r="A55" s="228" t="s">
        <v>73</v>
      </c>
      <c r="B55" s="210"/>
      <c r="C55" s="210"/>
      <c r="D55" s="210"/>
      <c r="E55" s="210"/>
      <c r="F55" s="210"/>
      <c r="G55" s="210"/>
      <c r="H55" s="211">
        <v>128752.92</v>
      </c>
    </row>
    <row r="56" spans="1:11">
      <c r="A56" s="228" t="s">
        <v>131</v>
      </c>
      <c r="B56" s="210"/>
      <c r="C56" s="210"/>
      <c r="D56" s="210"/>
      <c r="E56" s="210"/>
      <c r="F56" s="210"/>
      <c r="G56" s="210"/>
      <c r="H56" s="212">
        <v>25000</v>
      </c>
    </row>
    <row r="57" spans="1:11">
      <c r="A57" s="210"/>
      <c r="B57" s="210"/>
      <c r="C57" s="210"/>
      <c r="D57" s="210"/>
      <c r="E57" s="210"/>
      <c r="F57" s="210"/>
      <c r="G57" s="210"/>
      <c r="H57" s="212"/>
    </row>
    <row r="58" spans="1:11">
      <c r="A58" s="210" t="s">
        <v>77</v>
      </c>
      <c r="B58" s="210"/>
      <c r="C58" s="210"/>
      <c r="D58" s="210"/>
      <c r="E58" s="210"/>
      <c r="F58" s="210"/>
      <c r="G58" s="210"/>
      <c r="H58" s="71">
        <f>SUM(H55:H57)</f>
        <v>153752.91999999998</v>
      </c>
      <c r="K58" s="7"/>
    </row>
    <row r="59" spans="1:11" s="6" customFormat="1">
      <c r="A59" s="225" t="s">
        <v>100</v>
      </c>
      <c r="B59" s="226"/>
      <c r="C59" s="226"/>
      <c r="D59" s="226"/>
      <c r="E59" s="226"/>
      <c r="F59" s="226"/>
      <c r="G59" s="226"/>
      <c r="H59" s="227"/>
    </row>
    <row r="60" spans="1:11" s="6" customFormat="1">
      <c r="A60" s="83" t="s">
        <v>133</v>
      </c>
      <c r="B60" s="83"/>
      <c r="C60" s="83"/>
      <c r="D60" s="83"/>
      <c r="E60" s="83"/>
      <c r="F60" s="83"/>
      <c r="G60" s="83"/>
      <c r="H60" s="72">
        <v>20546.41</v>
      </c>
      <c r="I60" s="61"/>
    </row>
    <row r="61" spans="1:11" s="6" customFormat="1">
      <c r="A61" s="83" t="s">
        <v>78</v>
      </c>
      <c r="B61" s="83"/>
      <c r="C61" s="83"/>
      <c r="D61" s="83"/>
      <c r="E61" s="83"/>
      <c r="F61" s="83"/>
      <c r="G61" s="83"/>
      <c r="H61" s="72">
        <f>SUM(H60)</f>
        <v>20546.41</v>
      </c>
    </row>
    <row r="62" spans="1:11" s="6" customFormat="1">
      <c r="A62" s="172" t="s">
        <v>76</v>
      </c>
      <c r="B62" s="172"/>
      <c r="C62" s="172"/>
      <c r="D62" s="172"/>
      <c r="E62" s="172"/>
      <c r="F62" s="172"/>
      <c r="G62" s="172"/>
      <c r="H62" s="172"/>
    </row>
    <row r="63" spans="1:11" s="6" customFormat="1">
      <c r="A63" s="83"/>
      <c r="B63" s="83"/>
      <c r="C63" s="83"/>
      <c r="D63" s="83"/>
      <c r="E63" s="83"/>
      <c r="F63" s="83"/>
      <c r="G63" s="83"/>
      <c r="H63" s="72"/>
    </row>
    <row r="64" spans="1:11" s="6" customFormat="1">
      <c r="A64" s="83"/>
      <c r="B64" s="83"/>
      <c r="C64" s="83"/>
      <c r="D64" s="83"/>
      <c r="E64" s="83"/>
      <c r="F64" s="83"/>
      <c r="G64" s="83"/>
      <c r="H64" s="72"/>
    </row>
    <row r="65" spans="1:9" s="6" customFormat="1">
      <c r="A65" s="83"/>
      <c r="B65" s="83"/>
      <c r="C65" s="83"/>
      <c r="D65" s="83"/>
      <c r="E65" s="83"/>
      <c r="F65" s="83"/>
      <c r="G65" s="83"/>
      <c r="H65" s="72">
        <v>0</v>
      </c>
    </row>
    <row r="66" spans="1:9" s="6" customFormat="1" ht="21" customHeight="1">
      <c r="A66" s="83" t="s">
        <v>79</v>
      </c>
      <c r="B66" s="83"/>
      <c r="C66" s="83"/>
      <c r="D66" s="83"/>
      <c r="E66" s="83"/>
      <c r="F66" s="83"/>
      <c r="G66" s="83"/>
      <c r="H66" s="72">
        <f>SUM(H63:H65)</f>
        <v>0</v>
      </c>
      <c r="I66" s="61"/>
    </row>
    <row r="67" spans="1:9" s="6" customFormat="1" ht="18" customHeight="1">
      <c r="A67" s="225"/>
      <c r="B67" s="226"/>
      <c r="C67" s="226"/>
      <c r="D67" s="226"/>
      <c r="E67" s="226"/>
      <c r="F67" s="226"/>
      <c r="G67" s="226"/>
      <c r="H67" s="227"/>
    </row>
    <row r="68" spans="1:9" s="6" customFormat="1" ht="23.25" hidden="1" customHeight="1">
      <c r="A68" s="84"/>
      <c r="B68" s="85"/>
      <c r="C68" s="85"/>
      <c r="D68" s="85"/>
      <c r="E68" s="85"/>
      <c r="F68" s="85"/>
      <c r="G68" s="85"/>
      <c r="H68" s="232">
        <v>0</v>
      </c>
    </row>
    <row r="69" spans="1:9" s="6" customFormat="1" ht="20.25" hidden="1" customHeight="1">
      <c r="A69" s="233"/>
      <c r="B69" s="234"/>
      <c r="C69" s="234"/>
      <c r="D69" s="234"/>
      <c r="E69" s="234"/>
      <c r="F69" s="234"/>
      <c r="G69" s="234"/>
      <c r="H69" s="235">
        <v>0</v>
      </c>
    </row>
    <row r="70" spans="1:9" s="6" customFormat="1" ht="18" hidden="1" customHeight="1">
      <c r="A70" s="236"/>
      <c r="B70" s="237"/>
      <c r="C70" s="237"/>
      <c r="D70" s="237"/>
      <c r="E70" s="237"/>
      <c r="F70" s="237"/>
      <c r="G70" s="237"/>
      <c r="H70" s="232">
        <f>H68+H69</f>
        <v>0</v>
      </c>
    </row>
    <row r="71" spans="1:9" s="6" customFormat="1" ht="18" hidden="1" customHeight="1">
      <c r="A71" s="238" t="s">
        <v>87</v>
      </c>
      <c r="B71" s="239"/>
      <c r="C71" s="239"/>
      <c r="D71" s="239"/>
      <c r="E71" s="239"/>
      <c r="F71" s="239"/>
      <c r="G71" s="239"/>
      <c r="H71" s="240">
        <f>H66</f>
        <v>0</v>
      </c>
    </row>
    <row r="72" spans="1:9" s="6" customFormat="1" ht="18" customHeight="1">
      <c r="A72" s="241"/>
      <c r="B72" s="241"/>
      <c r="C72" s="241"/>
      <c r="D72" s="241"/>
      <c r="E72" s="241"/>
      <c r="F72" s="241"/>
      <c r="G72" s="241"/>
      <c r="H72" s="241"/>
    </row>
    <row r="73" spans="1:9" s="6" customFormat="1" ht="86.25" hidden="1" customHeight="1">
      <c r="A73" s="242"/>
      <c r="B73" s="242"/>
      <c r="C73" s="242"/>
      <c r="D73" s="242"/>
      <c r="E73" s="242"/>
      <c r="F73" s="242"/>
      <c r="G73" s="242"/>
      <c r="H73" s="242"/>
    </row>
    <row r="74" spans="1:9" s="6" customFormat="1" ht="18" customHeight="1">
      <c r="A74" s="243" t="s">
        <v>89</v>
      </c>
      <c r="B74" s="243"/>
      <c r="C74" s="243"/>
      <c r="D74" s="243"/>
      <c r="E74" s="243"/>
      <c r="F74" s="243"/>
      <c r="G74" s="243"/>
      <c r="H74" s="244"/>
    </row>
    <row r="75" spans="1:9" s="6" customFormat="1">
      <c r="A75" s="186" t="s">
        <v>156</v>
      </c>
      <c r="B75" s="187"/>
      <c r="C75" s="187"/>
      <c r="D75" s="187"/>
      <c r="E75" s="187"/>
      <c r="F75" s="187"/>
      <c r="G75" s="188"/>
      <c r="H75" s="76">
        <v>737000</v>
      </c>
    </row>
    <row r="76" spans="1:9" s="6" customFormat="1" ht="32.25" customHeight="1">
      <c r="A76" s="186" t="s">
        <v>157</v>
      </c>
      <c r="B76" s="187"/>
      <c r="C76" s="187"/>
      <c r="D76" s="187"/>
      <c r="E76" s="187"/>
      <c r="F76" s="187"/>
      <c r="G76" s="188"/>
      <c r="H76" s="76">
        <v>596150</v>
      </c>
    </row>
    <row r="77" spans="1:9" s="6" customFormat="1" ht="14.1" customHeight="1">
      <c r="A77" s="134"/>
      <c r="B77" s="135"/>
      <c r="C77" s="135"/>
      <c r="D77" s="135"/>
      <c r="E77" s="135"/>
      <c r="F77" s="135"/>
      <c r="G77" s="136"/>
      <c r="H77" s="76"/>
    </row>
    <row r="78" spans="1:9" s="6" customFormat="1" ht="18" customHeight="1">
      <c r="A78" s="137" t="s">
        <v>78</v>
      </c>
      <c r="B78" s="83"/>
      <c r="C78" s="83"/>
      <c r="D78" s="83"/>
      <c r="E78" s="83"/>
      <c r="F78" s="83"/>
      <c r="G78" s="83"/>
      <c r="H78" s="72">
        <f>SUM(H75:H77)</f>
        <v>1333150</v>
      </c>
    </row>
    <row r="79" spans="1:9" s="6" customFormat="1" ht="18" customHeight="1" thickBot="1">
      <c r="A79" s="138"/>
      <c r="B79" s="138"/>
      <c r="C79" s="138"/>
      <c r="D79" s="138"/>
      <c r="E79" s="138"/>
      <c r="F79" s="138"/>
      <c r="G79" s="138"/>
      <c r="H79" s="139"/>
    </row>
    <row r="80" spans="1:9" s="6" customFormat="1" ht="18" customHeight="1" thickBot="1">
      <c r="A80" s="168" t="s">
        <v>88</v>
      </c>
      <c r="B80" s="169"/>
      <c r="C80" s="169"/>
      <c r="D80" s="169"/>
      <c r="E80" s="169"/>
      <c r="F80" s="169"/>
      <c r="G80" s="169"/>
      <c r="H80" s="140">
        <f>H78</f>
        <v>1333150</v>
      </c>
    </row>
    <row r="81" spans="1:11" s="6" customFormat="1" ht="18" customHeight="1" thickBot="1">
      <c r="A81" s="176" t="s">
        <v>101</v>
      </c>
      <c r="B81" s="177"/>
      <c r="C81" s="177"/>
      <c r="D81" s="177"/>
      <c r="E81" s="177"/>
      <c r="F81" s="177"/>
      <c r="G81" s="178"/>
      <c r="H81" s="140">
        <v>852461.96</v>
      </c>
    </row>
    <row r="82" spans="1:11" s="6" customFormat="1" ht="18" customHeight="1" thickBot="1">
      <c r="A82" s="176" t="s">
        <v>106</v>
      </c>
      <c r="B82" s="177"/>
      <c r="C82" s="177"/>
      <c r="D82" s="177"/>
      <c r="E82" s="177"/>
      <c r="F82" s="177"/>
      <c r="G82" s="178"/>
      <c r="H82" s="140">
        <v>0</v>
      </c>
    </row>
    <row r="83" spans="1:11" ht="18.75">
      <c r="A83" s="168" t="s">
        <v>102</v>
      </c>
      <c r="B83" s="169"/>
      <c r="C83" s="169"/>
      <c r="D83" s="169"/>
      <c r="E83" s="169"/>
      <c r="F83" s="169"/>
      <c r="G83" s="169"/>
      <c r="H83" s="140">
        <f>H33+H43+H53+H58+H61+H38+H21+H29</f>
        <v>1564758.38</v>
      </c>
      <c r="J83" s="7"/>
      <c r="K83" s="152"/>
    </row>
    <row r="84" spans="1:11" ht="18.75">
      <c r="A84" s="173" t="s">
        <v>136</v>
      </c>
      <c r="B84" s="174"/>
      <c r="C84" s="174"/>
      <c r="D84" s="174"/>
      <c r="E84" s="174"/>
      <c r="F84" s="174"/>
      <c r="G84" s="175"/>
      <c r="H84" s="141">
        <f>H81+H83</f>
        <v>2417220.34</v>
      </c>
      <c r="I84" s="133"/>
      <c r="J84" s="158"/>
      <c r="K84" s="158"/>
    </row>
    <row r="85" spans="1:11" ht="18.75">
      <c r="A85" s="173" t="s">
        <v>107</v>
      </c>
      <c r="B85" s="174"/>
      <c r="C85" s="174"/>
      <c r="D85" s="174"/>
      <c r="E85" s="174"/>
      <c r="F85" s="174"/>
      <c r="G85" s="175"/>
      <c r="H85" s="142">
        <f>H82+H80</f>
        <v>1333150</v>
      </c>
    </row>
    <row r="86" spans="1:11" ht="20.25" customHeight="1" thickBot="1">
      <c r="A86" s="179" t="s">
        <v>90</v>
      </c>
      <c r="B86" s="180"/>
      <c r="C86" s="180"/>
      <c r="D86" s="180"/>
      <c r="E86" s="180"/>
      <c r="F86" s="180"/>
      <c r="G86" s="180"/>
      <c r="H86" s="143">
        <f>H83+H80</f>
        <v>2897908.38</v>
      </c>
      <c r="J86" s="7"/>
    </row>
    <row r="87" spans="1:11" ht="18.75" hidden="1">
      <c r="A87" s="170" t="s">
        <v>17</v>
      </c>
      <c r="B87" s="171"/>
      <c r="C87" s="171"/>
      <c r="D87" s="171"/>
      <c r="E87" s="171"/>
      <c r="F87" s="171"/>
      <c r="G87" s="171"/>
      <c r="H87" s="144">
        <f>H70</f>
        <v>0</v>
      </c>
      <c r="J87" s="7"/>
    </row>
    <row r="88" spans="1:11" ht="18.75" hidden="1">
      <c r="A88" s="145"/>
      <c r="B88" s="145"/>
      <c r="C88" s="145"/>
      <c r="D88" s="145"/>
      <c r="E88" s="145"/>
      <c r="F88" s="145"/>
      <c r="G88" s="145"/>
      <c r="H88" s="146"/>
      <c r="J88" s="7"/>
    </row>
    <row r="89" spans="1:11" ht="18.75" hidden="1">
      <c r="A89" s="145"/>
      <c r="B89" s="145"/>
      <c r="C89" s="145"/>
      <c r="D89" s="145"/>
      <c r="E89" s="145"/>
      <c r="F89" s="145"/>
      <c r="G89" s="145"/>
      <c r="H89" s="146"/>
      <c r="J89" s="7"/>
    </row>
    <row r="90" spans="1:11" ht="18.75" hidden="1">
      <c r="A90" s="145"/>
      <c r="B90" s="145"/>
      <c r="C90" s="145"/>
      <c r="D90" s="145"/>
      <c r="E90" s="145"/>
      <c r="F90" s="145"/>
      <c r="G90" s="145"/>
      <c r="H90" s="146"/>
      <c r="J90" s="7"/>
    </row>
    <row r="91" spans="1:11" ht="14.25" customHeight="1">
      <c r="A91" s="147"/>
      <c r="B91" s="147"/>
      <c r="C91" s="147"/>
      <c r="D91" s="147"/>
      <c r="E91" s="147"/>
      <c r="F91" s="147"/>
      <c r="G91" s="147"/>
      <c r="H91" s="147"/>
    </row>
    <row r="92" spans="1:11" ht="18.75">
      <c r="A92" s="163" t="s">
        <v>10</v>
      </c>
      <c r="B92" s="164"/>
      <c r="C92" s="164"/>
      <c r="D92" s="164"/>
      <c r="E92" s="164"/>
      <c r="F92" s="164"/>
      <c r="G92" s="164"/>
      <c r="H92" s="165"/>
    </row>
    <row r="93" spans="1:11" ht="18.75">
      <c r="A93" s="148" t="s">
        <v>12</v>
      </c>
      <c r="B93" s="149"/>
      <c r="C93" s="149"/>
      <c r="D93" s="149"/>
      <c r="E93" s="149"/>
      <c r="F93" s="149"/>
      <c r="G93" s="149"/>
      <c r="H93" s="150">
        <v>848341.85556126735</v>
      </c>
    </row>
    <row r="94" spans="1:11">
      <c r="A94" s="84" t="s">
        <v>149</v>
      </c>
      <c r="B94" s="85"/>
      <c r="C94" s="85"/>
      <c r="D94" s="85"/>
      <c r="E94" s="85"/>
      <c r="F94" s="85"/>
      <c r="G94" s="85"/>
      <c r="H94" s="151">
        <f>Planilla!G32</f>
        <v>2408698.0954503752</v>
      </c>
    </row>
    <row r="95" spans="1:11" hidden="1">
      <c r="A95" s="81"/>
      <c r="B95" s="82"/>
      <c r="C95" s="82"/>
      <c r="D95" s="82"/>
      <c r="E95" s="82"/>
      <c r="F95" s="82"/>
      <c r="G95" s="82"/>
      <c r="H95" s="71"/>
    </row>
    <row r="96" spans="1:11" ht="14.25" customHeight="1">
      <c r="A96" s="81" t="s">
        <v>148</v>
      </c>
      <c r="B96" s="82"/>
      <c r="C96" s="82"/>
      <c r="D96" s="82"/>
      <c r="E96" s="82"/>
      <c r="F96" s="82"/>
      <c r="G96" s="82"/>
      <c r="H96" s="71">
        <f>-(H86)</f>
        <v>-2897908.38</v>
      </c>
    </row>
    <row r="97" spans="1:9" hidden="1">
      <c r="A97" s="81"/>
      <c r="B97" s="82"/>
      <c r="C97" s="82"/>
      <c r="D97" s="82"/>
      <c r="E97" s="82"/>
      <c r="F97" s="82"/>
      <c r="G97" s="82"/>
      <c r="H97" s="128"/>
    </row>
    <row r="98" spans="1:9">
      <c r="A98" s="81" t="s">
        <v>91</v>
      </c>
      <c r="B98" s="82"/>
      <c r="C98" s="82"/>
      <c r="D98" s="82"/>
      <c r="E98" s="82"/>
      <c r="F98" s="82"/>
      <c r="G98" s="82"/>
      <c r="H98" s="71">
        <f>-H71</f>
        <v>0</v>
      </c>
    </row>
    <row r="99" spans="1:9">
      <c r="A99" s="81" t="s">
        <v>75</v>
      </c>
      <c r="B99" s="82" t="s">
        <v>128</v>
      </c>
      <c r="C99" s="82"/>
      <c r="D99" s="82"/>
      <c r="E99" s="82"/>
      <c r="F99" s="82"/>
      <c r="G99" s="82"/>
      <c r="H99" s="128">
        <v>115393.04</v>
      </c>
    </row>
    <row r="100" spans="1:9">
      <c r="A100" s="81" t="s">
        <v>74</v>
      </c>
      <c r="B100" s="82"/>
      <c r="C100" s="82"/>
      <c r="D100" s="82"/>
      <c r="E100" s="82"/>
      <c r="F100" s="82"/>
      <c r="G100" s="82"/>
      <c r="H100" s="128">
        <v>42601.5</v>
      </c>
      <c r="I100" s="152"/>
    </row>
    <row r="101" spans="1:9">
      <c r="A101" s="12" t="s">
        <v>134</v>
      </c>
      <c r="B101" s="86"/>
      <c r="C101" s="4"/>
      <c r="D101" s="4"/>
      <c r="E101" s="4"/>
      <c r="F101" s="4"/>
      <c r="G101" s="4"/>
      <c r="H101" s="101">
        <v>0</v>
      </c>
    </row>
    <row r="102" spans="1:9" ht="18.75">
      <c r="A102" s="23" t="s">
        <v>11</v>
      </c>
      <c r="B102" s="24"/>
      <c r="C102" s="24"/>
      <c r="D102" s="24"/>
      <c r="E102" s="24"/>
      <c r="F102" s="24"/>
      <c r="G102" s="24"/>
      <c r="H102" s="87">
        <f>SUM(H93:H101)</f>
        <v>517126.1110116429</v>
      </c>
    </row>
    <row r="103" spans="1:9" ht="15.75" thickBot="1"/>
    <row r="104" spans="1:9" ht="16.5" thickBot="1">
      <c r="A104" s="160" t="s">
        <v>111</v>
      </c>
      <c r="B104" s="161"/>
      <c r="C104" s="161"/>
      <c r="D104" s="161"/>
      <c r="E104" s="161"/>
      <c r="F104" s="161"/>
      <c r="G104" s="161"/>
      <c r="H104" s="162"/>
    </row>
    <row r="105" spans="1:9" ht="15.75">
      <c r="A105" s="90" t="s">
        <v>12</v>
      </c>
      <c r="B105" s="90"/>
      <c r="C105" s="90"/>
      <c r="D105" s="90"/>
      <c r="E105" s="90"/>
      <c r="F105" s="90"/>
      <c r="G105" s="90"/>
      <c r="H105" s="91">
        <v>0</v>
      </c>
    </row>
    <row r="106" spans="1:9">
      <c r="A106" s="62" t="s">
        <v>135</v>
      </c>
      <c r="B106" s="94"/>
      <c r="C106" s="4"/>
      <c r="D106" s="62"/>
      <c r="E106" s="62"/>
      <c r="F106" s="62"/>
      <c r="G106" s="62"/>
      <c r="H106" s="132"/>
    </row>
    <row r="107" spans="1:9">
      <c r="A107" s="62"/>
      <c r="B107" s="100"/>
      <c r="C107" s="62"/>
      <c r="D107" s="62"/>
      <c r="E107" s="62"/>
      <c r="F107" s="62"/>
      <c r="G107" s="62"/>
      <c r="H107" s="22"/>
    </row>
    <row r="108" spans="1:9">
      <c r="A108" s="62"/>
      <c r="B108" s="62"/>
      <c r="C108" s="62"/>
      <c r="D108" s="62"/>
      <c r="E108" s="62"/>
      <c r="F108" s="62"/>
      <c r="G108" s="62"/>
      <c r="H108" s="22"/>
    </row>
    <row r="109" spans="1:9">
      <c r="A109" s="88" t="s">
        <v>11</v>
      </c>
      <c r="B109" s="88"/>
      <c r="C109" s="88"/>
      <c r="D109" s="88"/>
      <c r="E109" s="88"/>
      <c r="F109" s="88"/>
      <c r="G109" s="88"/>
      <c r="H109" s="89">
        <f>SUM(H105:H108)</f>
        <v>0</v>
      </c>
    </row>
    <row r="112" spans="1:9" hidden="1">
      <c r="A112" s="159"/>
      <c r="B112" s="159"/>
      <c r="C112" s="159"/>
      <c r="D112" s="159"/>
      <c r="E112" s="159"/>
      <c r="F112" s="159"/>
      <c r="G112" s="159"/>
      <c r="H112" s="159"/>
    </row>
    <row r="113" spans="1:8" hidden="1">
      <c r="A113" s="159"/>
      <c r="B113" s="159"/>
      <c r="C113" s="159"/>
      <c r="D113" s="159"/>
      <c r="E113" s="159"/>
      <c r="F113" s="159"/>
      <c r="G113" s="159"/>
      <c r="H113" s="159"/>
    </row>
    <row r="114" spans="1:8" hidden="1">
      <c r="A114" s="159"/>
      <c r="B114" s="159"/>
      <c r="C114" s="159"/>
      <c r="D114" s="159"/>
      <c r="E114" s="159"/>
      <c r="F114" s="159"/>
      <c r="G114" s="159"/>
      <c r="H114" s="159"/>
    </row>
    <row r="115" spans="1:8" hidden="1">
      <c r="A115" s="159"/>
      <c r="B115" s="159"/>
      <c r="C115" s="159"/>
      <c r="D115" s="159"/>
      <c r="E115" s="159"/>
      <c r="F115" s="159"/>
      <c r="G115" s="159"/>
      <c r="H115" s="159"/>
    </row>
  </sheetData>
  <mergeCells count="30">
    <mergeCell ref="D2:H2"/>
    <mergeCell ref="A34:H34"/>
    <mergeCell ref="A82:G82"/>
    <mergeCell ref="A30:H30"/>
    <mergeCell ref="A22:H22"/>
    <mergeCell ref="A75:G75"/>
    <mergeCell ref="A12:H12"/>
    <mergeCell ref="A76:G76"/>
    <mergeCell ref="A84:G84"/>
    <mergeCell ref="A86:G86"/>
    <mergeCell ref="A71:G71"/>
    <mergeCell ref="A80:G80"/>
    <mergeCell ref="A74:G74"/>
    <mergeCell ref="A72:H73"/>
    <mergeCell ref="J84:K84"/>
    <mergeCell ref="A112:H115"/>
    <mergeCell ref="A104:H104"/>
    <mergeCell ref="A92:H92"/>
    <mergeCell ref="E3:H3"/>
    <mergeCell ref="A83:G83"/>
    <mergeCell ref="A87:G87"/>
    <mergeCell ref="A14:H14"/>
    <mergeCell ref="A39:H39"/>
    <mergeCell ref="A44:H44"/>
    <mergeCell ref="A54:H54"/>
    <mergeCell ref="A59:H59"/>
    <mergeCell ref="A62:H62"/>
    <mergeCell ref="A67:H67"/>
    <mergeCell ref="A85:G85"/>
    <mergeCell ref="A81:G81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2025-03-30T18:46:07Z</cp:lastPrinted>
  <dcterms:created xsi:type="dcterms:W3CDTF">2021-10-25T13:53:39Z</dcterms:created>
  <dcterms:modified xsi:type="dcterms:W3CDTF">2025-03-30T18:46:52Z</dcterms:modified>
</cp:coreProperties>
</file>