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RIN 3219\Octubre\"/>
    </mc:Choice>
  </mc:AlternateContent>
  <xr:revisionPtr revIDLastSave="0" documentId="13_ncr:1_{76D19B1A-2721-424E-9EC8-C3151C43623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Planilla!$A$1:$N$33</definedName>
    <definedName name="_xlnm.Print_Area" localSheetId="0">RESUMEN!$A$1:$H$102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F4" i="1"/>
  <c r="G15" i="1" l="1"/>
  <c r="G9" i="1"/>
  <c r="G18" i="1"/>
  <c r="H91" i="27"/>
  <c r="G20" i="1"/>
  <c r="G17" i="1"/>
  <c r="G29" i="1"/>
  <c r="H33" i="27" l="1"/>
  <c r="G26" i="1"/>
  <c r="H1" i="1"/>
  <c r="G25" i="1" l="1"/>
  <c r="M9" i="1" l="1"/>
  <c r="G13" i="1"/>
  <c r="H48" i="27" l="1"/>
  <c r="G30" i="1" l="1"/>
  <c r="H53" i="27" l="1"/>
  <c r="H30" i="27"/>
  <c r="H18" i="27"/>
  <c r="H39" i="27"/>
  <c r="G16" i="1" l="1"/>
  <c r="G22" i="1" l="1"/>
  <c r="G31" i="1"/>
  <c r="K10" i="1" l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6" i="27"/>
  <c r="B5" i="1" l="1"/>
  <c r="H71" i="27"/>
  <c r="F1" i="1" l="1"/>
  <c r="H35" i="27" l="1"/>
  <c r="H18" i="1" l="1"/>
  <c r="I18" i="1" s="1"/>
  <c r="G10" i="1" l="1"/>
  <c r="G32" i="1" s="1"/>
  <c r="H101" i="27" l="1"/>
  <c r="H56" i="27" l="1"/>
  <c r="H76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3" i="27" l="1"/>
  <c r="H78" i="27" l="1"/>
  <c r="H79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1" i="27"/>
  <c r="H66" i="27" s="1"/>
  <c r="H89" i="27" s="1"/>
  <c r="H88" i="27" l="1"/>
  <c r="F32" i="1"/>
  <c r="E32" i="1"/>
  <c r="B32" i="1"/>
  <c r="H77" i="27" l="1"/>
  <c r="H65" i="27"/>
  <c r="H80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7" i="27"/>
  <c r="H94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<sst xmlns="http://schemas.openxmlformats.org/spreadsheetml/2006/main" count="238" uniqueCount="162">
  <si>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</si>
  <si>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</si>
  <si>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</si>
  <si>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</si>
  <si>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</si>
  <si>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</si>
  <si>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</si>
  <si>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</si>
  <si>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</si>
  <si>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</si>
  <si>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</si>
  <si>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</si>
  <si>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</si>
  <si>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</si>
  <si>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</si>
  <si>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</si>
  <si>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</si>
  <si>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</si>
  <si>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</si>
  <si>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</si>
  <si>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</si>
  <si>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</si>
  <si>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</si>
  <si>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</si>
  <si>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</si>
  <si>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</si>
  <si>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</si>
  <si>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</si>
  <si>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</si>
  <si>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</si>
  <si>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</si>
  <si>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</si>
  <si>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</si>
  <si>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</si>
  <si>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</si>
  <si>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</si>
  <si>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</si>
  <si>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</si>
  <si>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</si>
  <si>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</si>
  <si>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</si>
  <si>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</si>
  <si>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</si>
  <si>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</si>
  <si>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</si>
  <si>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</si>
  <si>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</si>
  <si>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</si>
  <si>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</si>
  <si>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</si>
  <si>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</si>
  <si>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</si>
  <si>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</si>
  <si>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</si>
  <si>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</si>
  <si>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</si>
  <si>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</si>
  <si>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</si>
  <si>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</si>
  <si>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</si>
  <si>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</si>
  <si>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</si>
  <si>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</si>
  <si>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</si>
  <si>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</si>
  <si>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</si>
  <si>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</si>
  <si>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</si>
  <si>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</si>
  <si>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</si>
  <si>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</si>
  <si>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</si>
  <si>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</si>
  <si>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</si>
  <si>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</si>
  <si>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</si>
  <si>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</si>
  <si>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</si>
  <si>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</si>
  <si>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</si>
  <si>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</si>
  <si>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</si>
  <si>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</si>
  <si>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</si>
  <si>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</si>
  <si>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</si>
  <si>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</si>
  <si>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</si>
  <si>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</si>
  <si>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</si>
  <si>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</si>
  <si>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</si>
  <si>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</si>
  <si>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</si>
  <si>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</si>
  <si>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</si>
  <si>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</si>
  <si>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</si>
  <si>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</si>
  <si>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</si>
  <si>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</si>
  <si>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</si>
  <si>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</si>
  <si>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</si>
  <si>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</si>
  <si>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</si>
  <si>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</si>
  <si>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</si>
  <si>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</si>
  <si>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</si>
  <si>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</si>
  <si>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</si>
  <si>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</si>
  <si>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</si>
  <si>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</si>
  <si>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</si>
  <si>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</si>
  <si>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</si>
  <si>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</si>
  <si>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</si>
  <si>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</si>
  <si>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</si>
  <si>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</si>
  <si>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</si>
  <si>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</si>
  <si>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</si>
  <si>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</si>
  <si>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</si>
  <si>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</si>
  <si>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</si>
  <si>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</si>
  <si>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SAC</t>
  </si>
  <si>
    <t xml:space="preserve">Redondeo 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</si>
  <si>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</si>
  <si>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</si>
  <si>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</si>
  <si>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</si>
  <si>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</si>
  <si>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</si>
  <si>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</si>
  <si>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</si>
  <si>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</si>
  <si>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</si>
  <si>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Horas extra fumigacion</t>
  </si>
  <si>
    <t>ARCA NO SE PAGA HASTA RESOLVER LA SITUACION CUENTA</t>
  </si>
  <si>
    <t>Articulos de limpieza</t>
  </si>
  <si>
    <t>subidos en juli</t>
  </si>
  <si>
    <t xml:space="preserve">Sueldo Sra Monica Forment </t>
  </si>
  <si>
    <t>AYSA</t>
  </si>
  <si>
    <t>OCTUBRE</t>
  </si>
  <si>
    <t>Damato fumigaciones - OCTUBRE</t>
  </si>
  <si>
    <t>Egresos por gastos mes - OCTUBRE</t>
  </si>
  <si>
    <t>Citta Cerrajeria - Cierre defectuoso de puerta principal</t>
  </si>
  <si>
    <t>Destapacion AYSA - 31/10</t>
  </si>
  <si>
    <t xml:space="preserve">Romera Carlos Augusto </t>
  </si>
  <si>
    <t>Abono juicio - UF 5.20</t>
  </si>
  <si>
    <t>Dr. Sarro Murillo escrito</t>
  </si>
  <si>
    <t>Adelanto arreglo ascensor</t>
  </si>
  <si>
    <t>Julio Doartero - Destrabe cisterna - 30/10</t>
  </si>
  <si>
    <t>Pago Juicio cuota 1/2</t>
  </si>
  <si>
    <t xml:space="preserve">Pago Juicio </t>
  </si>
  <si>
    <t>VTO: 30/11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</si>
</sst>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18" fillId="0" borderId="1" xfId="1" applyFont="1" applyBorder="1" applyAlignment="1">
      <alignment horizontal="left"/>
    </xf>
    <xf numFmtId="44" fontId="2" fillId="0" borderId="1" xfId="1" applyFont="1" applyBorder="1" applyAlignment="1">
      <alignment horizontal="left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44" fontId="2" fillId="2" borderId="1" xfId="1" applyFont="1" applyFill="1" applyBorder="1"/>
    <xf numFmtId="0" fontId="0" fillId="2" borderId="1" xfId="0" applyFill="1" applyBorder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0" fontId="0" fillId="5" borderId="1" xfId="0" applyFill="1" applyBorder="1" applyAlignment="1">
      <alignment horizontal="right"/>
    </xf>
    <xf numFmtId="1" fontId="12" fillId="5" borderId="1" xfId="0" applyNumberFormat="1" applyFont="1" applyFill="1" applyBorder="1" applyAlignment="1">
      <alignment horizontal="center"/>
    </xf>
    <xf numFmtId="0" fontId="25" fillId="5" borderId="1" xfId="0" applyFont="1" applyFill="1" applyBorder="1"/>
    <xf numFmtId="0" fontId="25" fillId="5" borderId="6" xfId="0" applyFont="1" applyFill="1" applyBorder="1"/>
    <xf numFmtId="10" fontId="10" fillId="5" borderId="6" xfId="0" applyNumberFormat="1" applyFont="1" applyFill="1" applyBorder="1"/>
    <xf numFmtId="44" fontId="0" fillId="5" borderId="13" xfId="1" applyFont="1" applyFill="1" applyBorder="1"/>
    <xf numFmtId="164" fontId="0" fillId="5" borderId="13" xfId="1" applyNumberFormat="1" applyFont="1" applyFill="1" applyBorder="1"/>
    <xf numFmtId="44" fontId="0" fillId="5" borderId="13" xfId="0" applyNumberFormat="1" applyFill="1" applyBorder="1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2" fillId="3" borderId="1" xfId="0" applyNumberFormat="1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164" fontId="21" fillId="2" borderId="13" xfId="1" applyNumberFormat="1" applyFont="1" applyFill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5" borderId="1" xfId="1" applyNumberFormat="1" applyFont="1" applyFill="1" applyBorder="1"/>
    <xf numFmtId="164" fontId="21" fillId="9" borderId="1" xfId="1" applyNumberFormat="1" applyFont="1" applyFill="1" applyBorder="1"/>
    <xf numFmtId="44" fontId="30" fillId="2" borderId="13" xfId="1" applyFont="1" applyFill="1" applyBorder="1"/>
    <xf numFmtId="44" fontId="30" fillId="0" borderId="13" xfId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7"/>
  <sheetViews>
    <sheetView zoomScaleNormal="100" workbookViewId="0">
      <selection activeCell="G9" sqref="G9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189"/>
      <c r="E2" s="190"/>
      <c r="F2" s="190"/>
      <c r="G2" s="190"/>
      <c r="H2" s="191"/>
    </row>
    <row r="3" spans="1:9">
      <c r="A3" s="10"/>
      <c r="D3" s="14" t="s">
        <v>6</v>
      </c>
      <c r="E3" s="223">
        <v>1153202676</v>
      </c>
      <c r="F3" s="223"/>
      <c r="G3" s="223"/>
      <c r="H3" s="224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118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67</v>
      </c>
      <c r="F8" s="89" t="s">
        <v>149</v>
      </c>
      <c r="G8" s="19" t="s">
        <v>161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01"/>
      <c r="B12" s="202"/>
      <c r="C12" s="202"/>
      <c r="D12" s="202"/>
      <c r="E12" s="202"/>
      <c r="F12" s="202"/>
      <c r="G12" s="202"/>
      <c r="H12" s="203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227" t="s">
        <v>127</v>
      </c>
      <c r="B14" s="227"/>
      <c r="C14" s="227"/>
      <c r="D14" s="227"/>
      <c r="E14" s="227"/>
      <c r="F14" s="227"/>
      <c r="G14" s="227"/>
      <c r="H14" s="227"/>
    </row>
    <row r="15" spans="1:9">
      <c r="A15" s="177" t="s">
        <v>147</v>
      </c>
      <c r="B15" s="140"/>
      <c r="C15" s="140"/>
      <c r="D15" s="140"/>
      <c r="E15" s="140"/>
      <c r="F15" s="140"/>
      <c r="G15" s="140"/>
      <c r="H15" s="73">
        <v>381604.3</v>
      </c>
    </row>
    <row r="16" spans="1:9">
      <c r="A16" s="177" t="s">
        <v>88</v>
      </c>
      <c r="B16" s="140"/>
      <c r="C16" s="140"/>
      <c r="D16" s="140"/>
      <c r="E16" s="140"/>
      <c r="F16" s="140"/>
      <c r="G16" s="140"/>
      <c r="H16" s="73">
        <v>-60102.67</v>
      </c>
      <c r="I16" s="7"/>
    </row>
    <row r="17" spans="1:9">
      <c r="A17" s="177" t="s">
        <v>121</v>
      </c>
      <c r="B17" s="140"/>
      <c r="C17" s="140"/>
      <c r="D17" s="140"/>
      <c r="E17" s="140"/>
      <c r="F17" s="140"/>
      <c r="G17" s="140"/>
      <c r="H17" s="73">
        <v>0.37</v>
      </c>
      <c r="I17" s="7"/>
    </row>
    <row r="18" spans="1:9">
      <c r="A18" s="177" t="s">
        <v>75</v>
      </c>
      <c r="B18" s="140"/>
      <c r="C18" s="140"/>
      <c r="D18" s="140"/>
      <c r="E18" s="140"/>
      <c r="F18" s="140"/>
      <c r="G18" s="140"/>
      <c r="H18" s="69">
        <f>SUM(H15:H17)</f>
        <v>321502</v>
      </c>
      <c r="I18" s="7"/>
    </row>
    <row r="19" spans="1:9" ht="0.75" customHeight="1">
      <c r="A19" s="197" t="s">
        <v>131</v>
      </c>
      <c r="B19" s="197"/>
      <c r="C19" s="197"/>
      <c r="D19" s="197"/>
      <c r="E19" s="197"/>
      <c r="F19" s="197"/>
      <c r="G19" s="197"/>
      <c r="H19" s="197"/>
    </row>
    <row r="20" spans="1:9" hidden="1">
      <c r="A20" s="177" t="s">
        <v>131</v>
      </c>
      <c r="B20" s="140"/>
      <c r="C20" s="140"/>
      <c r="D20" s="140"/>
      <c r="E20" s="140"/>
      <c r="F20" s="140"/>
      <c r="G20" s="140"/>
      <c r="H20" s="73"/>
    </row>
    <row r="21" spans="1:9" hidden="1">
      <c r="A21" s="177"/>
      <c r="B21" s="140"/>
      <c r="C21" s="140"/>
      <c r="D21" s="140"/>
      <c r="E21" s="140"/>
      <c r="F21" s="140"/>
      <c r="G21" s="140"/>
      <c r="H21" s="73">
        <v>0</v>
      </c>
    </row>
    <row r="22" spans="1:9" hidden="1">
      <c r="A22" s="177"/>
      <c r="B22" s="140"/>
      <c r="C22" s="140"/>
      <c r="D22" s="140"/>
      <c r="E22" s="140"/>
      <c r="F22" s="140"/>
      <c r="G22" s="140"/>
      <c r="H22" s="73">
        <v>0</v>
      </c>
    </row>
    <row r="23" spans="1:9" hidden="1">
      <c r="A23" s="177"/>
      <c r="B23" s="140"/>
      <c r="C23" s="140"/>
      <c r="D23" s="140"/>
      <c r="E23" s="140"/>
      <c r="F23" s="140"/>
      <c r="G23" s="140"/>
      <c r="H23" s="73">
        <v>0</v>
      </c>
    </row>
    <row r="24" spans="1:9" hidden="1">
      <c r="A24" s="177" t="s">
        <v>132</v>
      </c>
      <c r="B24" s="140"/>
      <c r="C24" s="140"/>
      <c r="D24" s="140"/>
      <c r="E24" s="140"/>
      <c r="F24" s="140"/>
      <c r="G24" s="140"/>
      <c r="H24" s="73"/>
    </row>
    <row r="25" spans="1:9" hidden="1">
      <c r="A25" s="177" t="s">
        <v>88</v>
      </c>
      <c r="B25" s="140"/>
      <c r="C25" s="140"/>
      <c r="D25" s="140"/>
      <c r="E25" s="140"/>
      <c r="F25" s="140"/>
      <c r="G25" s="140"/>
      <c r="H25" s="73"/>
    </row>
    <row r="26" spans="1:9" hidden="1">
      <c r="A26" s="177" t="s">
        <v>75</v>
      </c>
      <c r="B26" s="140"/>
      <c r="C26" s="140"/>
      <c r="D26" s="140"/>
      <c r="E26" s="140"/>
      <c r="F26" s="140"/>
      <c r="G26" s="140"/>
      <c r="H26" s="69">
        <f>SUM(H20:H25)</f>
        <v>0</v>
      </c>
    </row>
    <row r="27" spans="1:9">
      <c r="A27" s="196" t="s">
        <v>135</v>
      </c>
      <c r="B27" s="196"/>
      <c r="C27" s="196"/>
      <c r="D27" s="196"/>
      <c r="E27" s="196"/>
      <c r="F27" s="196"/>
      <c r="G27" s="196"/>
      <c r="H27" s="196"/>
    </row>
    <row r="28" spans="1:9">
      <c r="A28" s="140" t="s">
        <v>143</v>
      </c>
      <c r="B28" s="140"/>
      <c r="C28" s="140"/>
      <c r="D28" s="140"/>
      <c r="E28" s="140"/>
      <c r="F28" s="140"/>
      <c r="G28" s="140"/>
      <c r="H28" s="73">
        <v>32000</v>
      </c>
    </row>
    <row r="29" spans="1:9">
      <c r="A29" s="140"/>
      <c r="B29" s="140"/>
      <c r="C29" s="140"/>
      <c r="D29" s="140"/>
      <c r="E29" s="140"/>
      <c r="F29" s="140"/>
      <c r="G29" s="140"/>
      <c r="H29" s="73"/>
    </row>
    <row r="30" spans="1:9">
      <c r="A30" s="140" t="s">
        <v>75</v>
      </c>
      <c r="B30" s="140"/>
      <c r="C30" s="140"/>
      <c r="D30" s="140"/>
      <c r="E30" s="140"/>
      <c r="F30" s="140"/>
      <c r="G30" s="140"/>
      <c r="H30" s="69">
        <f>SUM(H28:H29)</f>
        <v>32000</v>
      </c>
    </row>
    <row r="31" spans="1:9" ht="14.25" customHeight="1">
      <c r="A31" s="192" t="s">
        <v>89</v>
      </c>
      <c r="B31" s="192"/>
      <c r="C31" s="192"/>
      <c r="D31" s="192"/>
      <c r="E31" s="192"/>
      <c r="F31" s="192"/>
      <c r="G31" s="192"/>
      <c r="H31" s="192"/>
    </row>
    <row r="32" spans="1:9" hidden="1">
      <c r="A32" s="177"/>
      <c r="B32" s="140"/>
      <c r="C32" s="140"/>
      <c r="D32" s="140"/>
      <c r="E32" s="140"/>
      <c r="F32" s="140"/>
      <c r="G32" s="140"/>
      <c r="H32" s="73"/>
    </row>
    <row r="33" spans="1:10">
      <c r="A33" s="177" t="s">
        <v>81</v>
      </c>
      <c r="B33" s="178"/>
      <c r="C33" s="140"/>
      <c r="D33" s="140"/>
      <c r="E33" s="140"/>
      <c r="F33" s="140"/>
      <c r="G33" s="140"/>
      <c r="H33" s="73">
        <f>1623.15+33810.99+14068.38</f>
        <v>49502.52</v>
      </c>
    </row>
    <row r="34" spans="1:10">
      <c r="A34" s="140" t="s">
        <v>144</v>
      </c>
      <c r="B34" s="140"/>
      <c r="C34" s="140"/>
      <c r="D34" s="140"/>
      <c r="E34" s="140"/>
      <c r="F34" s="140"/>
      <c r="G34" s="140"/>
      <c r="H34" s="73">
        <v>0</v>
      </c>
    </row>
    <row r="35" spans="1:10">
      <c r="A35" s="140" t="s">
        <v>74</v>
      </c>
      <c r="B35" s="140"/>
      <c r="C35" s="140"/>
      <c r="D35" s="140"/>
      <c r="E35" s="140"/>
      <c r="F35" s="140"/>
      <c r="G35" s="140"/>
      <c r="H35" s="69">
        <f>SUM(H32:H34)</f>
        <v>49502.52</v>
      </c>
    </row>
    <row r="36" spans="1:10">
      <c r="A36" s="192" t="s">
        <v>136</v>
      </c>
      <c r="B36" s="192"/>
      <c r="C36" s="192"/>
      <c r="D36" s="192"/>
      <c r="E36" s="192"/>
      <c r="F36" s="192"/>
      <c r="G36" s="192"/>
      <c r="H36" s="192"/>
    </row>
    <row r="37" spans="1:10" ht="14.25" customHeight="1">
      <c r="A37" s="140" t="s">
        <v>148</v>
      </c>
      <c r="B37" s="140"/>
      <c r="C37" s="140"/>
      <c r="D37" s="140"/>
      <c r="E37" s="140"/>
      <c r="F37" s="140"/>
      <c r="G37" s="140"/>
      <c r="H37" s="73">
        <v>2056747.63</v>
      </c>
    </row>
    <row r="38" spans="1:10">
      <c r="A38" s="179" t="s">
        <v>101</v>
      </c>
      <c r="B38" s="140"/>
      <c r="C38" s="140"/>
      <c r="D38" s="140"/>
      <c r="E38" s="140"/>
      <c r="F38" s="140"/>
      <c r="G38" s="140"/>
      <c r="H38" s="73">
        <v>56106.559999999998</v>
      </c>
    </row>
    <row r="39" spans="1:10">
      <c r="A39" s="140" t="s">
        <v>75</v>
      </c>
      <c r="B39" s="140"/>
      <c r="C39" s="140"/>
      <c r="D39" s="140"/>
      <c r="E39" s="140"/>
      <c r="F39" s="140"/>
      <c r="G39" s="140"/>
      <c r="H39" s="180">
        <f>SUM(H37:H38)</f>
        <v>2112854.19</v>
      </c>
    </row>
    <row r="40" spans="1:10">
      <c r="A40" s="227" t="s">
        <v>137</v>
      </c>
      <c r="B40" s="227"/>
      <c r="C40" s="227"/>
      <c r="D40" s="227"/>
      <c r="E40" s="227"/>
      <c r="F40" s="227"/>
      <c r="G40" s="227"/>
      <c r="H40" s="227"/>
    </row>
    <row r="41" spans="1:10">
      <c r="A41" s="80" t="s">
        <v>69</v>
      </c>
      <c r="B41" s="140"/>
      <c r="C41" s="140"/>
      <c r="D41" s="140"/>
      <c r="E41" s="140"/>
      <c r="F41" s="140"/>
      <c r="G41" s="140"/>
      <c r="H41" s="73">
        <v>77500</v>
      </c>
    </row>
    <row r="42" spans="1:10">
      <c r="A42" s="140" t="s">
        <v>70</v>
      </c>
      <c r="B42" s="140"/>
      <c r="C42" s="140"/>
      <c r="D42" s="140"/>
      <c r="E42" s="140"/>
      <c r="F42" s="140"/>
      <c r="G42" s="140"/>
      <c r="H42" s="73">
        <v>20774.91</v>
      </c>
    </row>
    <row r="43" spans="1:10">
      <c r="A43" s="140" t="s">
        <v>150</v>
      </c>
      <c r="B43" s="140"/>
      <c r="C43" s="140"/>
      <c r="D43" s="140"/>
      <c r="E43" s="140"/>
      <c r="F43" s="140"/>
      <c r="G43" s="140"/>
      <c r="H43" s="73">
        <v>65000</v>
      </c>
    </row>
    <row r="44" spans="1:10">
      <c r="A44" s="140" t="s">
        <v>153</v>
      </c>
      <c r="B44" s="140"/>
      <c r="C44" s="140"/>
      <c r="D44" s="140"/>
      <c r="E44" s="140"/>
      <c r="F44" s="140"/>
      <c r="G44" s="140"/>
      <c r="H44" s="73">
        <v>50000</v>
      </c>
    </row>
    <row r="45" spans="1:10">
      <c r="A45" s="140" t="s">
        <v>158</v>
      </c>
      <c r="B45" s="140"/>
      <c r="C45" s="140"/>
      <c r="D45" s="140"/>
      <c r="E45" s="140"/>
      <c r="F45" s="140"/>
      <c r="G45" s="140"/>
      <c r="H45" s="73">
        <v>60000</v>
      </c>
    </row>
    <row r="46" spans="1:10" ht="14.25" customHeight="1">
      <c r="A46" s="140" t="s">
        <v>152</v>
      </c>
      <c r="B46" s="140"/>
      <c r="C46" s="140"/>
      <c r="D46" s="140"/>
      <c r="E46" s="140"/>
      <c r="F46" s="140"/>
      <c r="G46" s="140"/>
      <c r="H46" s="73">
        <v>45000</v>
      </c>
    </row>
    <row r="47" spans="1:10">
      <c r="A47" s="140" t="s">
        <v>145</v>
      </c>
      <c r="B47" s="140"/>
      <c r="C47" s="140"/>
      <c r="D47" s="140"/>
      <c r="E47" s="140"/>
      <c r="F47" s="140"/>
      <c r="G47" s="140"/>
      <c r="H47" s="73">
        <v>50050</v>
      </c>
      <c r="J47" s="6"/>
    </row>
    <row r="48" spans="1:10">
      <c r="A48" s="140" t="s">
        <v>75</v>
      </c>
      <c r="B48" s="140"/>
      <c r="C48" s="140"/>
      <c r="D48" s="140"/>
      <c r="E48" s="140"/>
      <c r="F48" s="140"/>
      <c r="G48" s="140"/>
      <c r="H48" s="69">
        <f>SUM(H41:H47)</f>
        <v>368324.91000000003</v>
      </c>
    </row>
    <row r="49" spans="1:11">
      <c r="A49" s="227" t="s">
        <v>138</v>
      </c>
      <c r="B49" s="227"/>
      <c r="C49" s="227"/>
      <c r="D49" s="227"/>
      <c r="E49" s="227"/>
      <c r="F49" s="227"/>
      <c r="G49" s="227"/>
      <c r="H49" s="227"/>
    </row>
    <row r="50" spans="1:11">
      <c r="A50" s="140" t="s">
        <v>71</v>
      </c>
      <c r="B50" s="140"/>
      <c r="C50" s="140"/>
      <c r="D50" s="140"/>
      <c r="E50" s="140"/>
      <c r="F50" s="140"/>
      <c r="G50" s="140"/>
      <c r="H50" s="73">
        <v>156900</v>
      </c>
      <c r="J50" t="s">
        <v>146</v>
      </c>
    </row>
    <row r="51" spans="1:11">
      <c r="A51" s="140" t="s">
        <v>120</v>
      </c>
      <c r="B51" s="140"/>
      <c r="C51" s="140"/>
      <c r="D51" s="140"/>
      <c r="E51" s="140"/>
      <c r="F51" s="140"/>
      <c r="G51" s="140"/>
      <c r="H51" s="73">
        <v>35000</v>
      </c>
    </row>
    <row r="52" spans="1:11">
      <c r="A52" s="140"/>
      <c r="B52" s="140"/>
      <c r="C52" s="140"/>
      <c r="D52" s="140"/>
      <c r="E52" s="140"/>
      <c r="F52" s="140"/>
      <c r="G52" s="140"/>
      <c r="H52" s="73"/>
    </row>
    <row r="53" spans="1:11">
      <c r="A53" s="140" t="s">
        <v>74</v>
      </c>
      <c r="B53" s="140"/>
      <c r="C53" s="140"/>
      <c r="D53" s="140"/>
      <c r="E53" s="140"/>
      <c r="F53" s="140"/>
      <c r="G53" s="140"/>
      <c r="H53" s="180">
        <f>SUM(H50:H52)</f>
        <v>191900</v>
      </c>
      <c r="K53" s="7"/>
    </row>
    <row r="54" spans="1:11" s="6" customFormat="1">
      <c r="A54" s="228" t="s">
        <v>139</v>
      </c>
      <c r="B54" s="229"/>
      <c r="C54" s="229"/>
      <c r="D54" s="229"/>
      <c r="E54" s="229"/>
      <c r="F54" s="229"/>
      <c r="G54" s="229"/>
      <c r="H54" s="230"/>
    </row>
    <row r="55" spans="1:11" s="6" customFormat="1">
      <c r="A55" s="80" t="s">
        <v>122</v>
      </c>
      <c r="B55" s="80"/>
      <c r="C55" s="80"/>
      <c r="D55" s="80"/>
      <c r="E55" s="80"/>
      <c r="F55" s="80"/>
      <c r="G55" s="80"/>
      <c r="H55" s="73">
        <v>24990</v>
      </c>
      <c r="I55" s="60"/>
    </row>
    <row r="56" spans="1:11" s="6" customFormat="1">
      <c r="A56" s="80" t="s">
        <v>75</v>
      </c>
      <c r="B56" s="80"/>
      <c r="C56" s="80"/>
      <c r="D56" s="80"/>
      <c r="E56" s="80"/>
      <c r="F56" s="80"/>
      <c r="G56" s="80"/>
      <c r="H56" s="69">
        <f>SUM(H55)</f>
        <v>24990</v>
      </c>
    </row>
    <row r="57" spans="1:11" s="6" customFormat="1">
      <c r="A57" s="227" t="s">
        <v>140</v>
      </c>
      <c r="B57" s="227"/>
      <c r="C57" s="227"/>
      <c r="D57" s="227"/>
      <c r="E57" s="227"/>
      <c r="F57" s="227"/>
      <c r="G57" s="227"/>
      <c r="H57" s="227"/>
    </row>
    <row r="58" spans="1:11" s="6" customFormat="1">
      <c r="A58" s="80" t="s">
        <v>155</v>
      </c>
      <c r="B58" s="80"/>
      <c r="C58" s="80"/>
      <c r="D58" s="80"/>
      <c r="E58" s="80"/>
      <c r="F58" s="80"/>
      <c r="G58" s="80"/>
      <c r="H58" s="73">
        <v>1959024</v>
      </c>
    </row>
    <row r="59" spans="1:11" s="6" customFormat="1">
      <c r="A59" s="80" t="s">
        <v>156</v>
      </c>
      <c r="B59" s="80"/>
      <c r="C59" s="80"/>
      <c r="D59" s="80"/>
      <c r="E59" s="80"/>
      <c r="F59" s="80"/>
      <c r="G59" s="80"/>
      <c r="H59" s="73">
        <v>100000</v>
      </c>
    </row>
    <row r="60" spans="1:11" s="6" customFormat="1">
      <c r="A60" s="176"/>
      <c r="B60" s="176"/>
      <c r="C60" s="176"/>
      <c r="D60" s="176"/>
      <c r="E60" s="176"/>
      <c r="F60" s="176"/>
      <c r="G60" s="176"/>
      <c r="H60" s="175">
        <v>0</v>
      </c>
    </row>
    <row r="61" spans="1:11" s="6" customFormat="1" ht="21" customHeight="1">
      <c r="A61" s="80" t="s">
        <v>76</v>
      </c>
      <c r="B61" s="80"/>
      <c r="C61" s="80"/>
      <c r="D61" s="80"/>
      <c r="E61" s="80"/>
      <c r="F61" s="80"/>
      <c r="G61" s="80"/>
      <c r="H61" s="69">
        <f>SUM(H58:H60)</f>
        <v>2059024</v>
      </c>
      <c r="I61" s="60"/>
    </row>
    <row r="62" spans="1:11" s="6" customFormat="1" ht="18" customHeight="1">
      <c r="A62" s="228"/>
      <c r="B62" s="229"/>
      <c r="C62" s="229"/>
      <c r="D62" s="229"/>
      <c r="E62" s="229"/>
      <c r="F62" s="229"/>
      <c r="G62" s="229"/>
      <c r="H62" s="230"/>
    </row>
    <row r="63" spans="1:11" s="6" customFormat="1" ht="23.25" hidden="1" customHeight="1">
      <c r="A63" s="81"/>
      <c r="B63" s="82"/>
      <c r="C63" s="82"/>
      <c r="D63" s="82"/>
      <c r="E63" s="82"/>
      <c r="F63" s="82"/>
      <c r="G63" s="82"/>
      <c r="H63" s="159">
        <v>0</v>
      </c>
    </row>
    <row r="64" spans="1:11" s="6" customFormat="1" ht="20.25" hidden="1" customHeight="1">
      <c r="A64" s="160"/>
      <c r="B64" s="161"/>
      <c r="C64" s="161"/>
      <c r="D64" s="161"/>
      <c r="E64" s="161"/>
      <c r="F64" s="161"/>
      <c r="G64" s="161"/>
      <c r="H64" s="162">
        <v>0</v>
      </c>
    </row>
    <row r="65" spans="1:11" s="6" customFormat="1" ht="18" hidden="1" customHeight="1">
      <c r="A65" s="163"/>
      <c r="B65" s="164"/>
      <c r="C65" s="164"/>
      <c r="D65" s="164"/>
      <c r="E65" s="164"/>
      <c r="F65" s="164"/>
      <c r="G65" s="164"/>
      <c r="H65" s="159">
        <f>H63+H64</f>
        <v>0</v>
      </c>
    </row>
    <row r="66" spans="1:11" s="6" customFormat="1" ht="18" hidden="1" customHeight="1">
      <c r="A66" s="209" t="s">
        <v>83</v>
      </c>
      <c r="B66" s="210"/>
      <c r="C66" s="210"/>
      <c r="D66" s="210"/>
      <c r="E66" s="210"/>
      <c r="F66" s="210"/>
      <c r="G66" s="210"/>
      <c r="H66" s="165">
        <f>H61</f>
        <v>2059024</v>
      </c>
    </row>
    <row r="67" spans="1:11" s="6" customFormat="1" ht="18" customHeight="1">
      <c r="A67" s="214"/>
      <c r="B67" s="214"/>
      <c r="C67" s="214"/>
      <c r="D67" s="214"/>
      <c r="E67" s="214"/>
      <c r="F67" s="214"/>
      <c r="G67" s="214"/>
      <c r="H67" s="214"/>
    </row>
    <row r="68" spans="1:11" s="6" customFormat="1" ht="86.25" hidden="1" customHeight="1">
      <c r="A68" s="215"/>
      <c r="B68" s="215"/>
      <c r="C68" s="215"/>
      <c r="D68" s="215"/>
      <c r="E68" s="215"/>
      <c r="F68" s="215"/>
      <c r="G68" s="215"/>
      <c r="H68" s="215"/>
    </row>
    <row r="69" spans="1:11" s="6" customFormat="1" ht="18" customHeight="1">
      <c r="A69" s="213" t="s">
        <v>85</v>
      </c>
      <c r="B69" s="213"/>
      <c r="C69" s="213"/>
      <c r="D69" s="213"/>
      <c r="E69" s="213"/>
      <c r="F69" s="213"/>
      <c r="G69" s="213"/>
      <c r="H69" s="166"/>
    </row>
    <row r="70" spans="1:11" s="6" customFormat="1" ht="26.25" customHeight="1">
      <c r="A70" s="198"/>
      <c r="B70" s="199"/>
      <c r="C70" s="199"/>
      <c r="D70" s="199"/>
      <c r="E70" s="199"/>
      <c r="F70" s="199"/>
      <c r="G70" s="200"/>
      <c r="H70" s="73"/>
    </row>
    <row r="71" spans="1:11" s="6" customFormat="1" ht="18" customHeight="1">
      <c r="A71" s="130" t="s">
        <v>75</v>
      </c>
      <c r="B71" s="80"/>
      <c r="C71" s="80"/>
      <c r="D71" s="80"/>
      <c r="E71" s="80"/>
      <c r="F71" s="80"/>
      <c r="G71" s="80"/>
      <c r="H71" s="69">
        <f>SUM(H70:H70)</f>
        <v>0</v>
      </c>
    </row>
    <row r="72" spans="1:11" s="6" customFormat="1" ht="18" customHeight="1" thickBot="1">
      <c r="A72" s="131"/>
      <c r="B72" s="131"/>
      <c r="C72" s="131"/>
      <c r="D72" s="131"/>
      <c r="E72" s="131"/>
      <c r="F72" s="131"/>
      <c r="G72" s="131"/>
      <c r="H72" s="132"/>
    </row>
    <row r="73" spans="1:11" s="6" customFormat="1" ht="18" customHeight="1" thickBot="1">
      <c r="A73" s="211" t="s">
        <v>84</v>
      </c>
      <c r="B73" s="212"/>
      <c r="C73" s="212"/>
      <c r="D73" s="212"/>
      <c r="E73" s="212"/>
      <c r="F73" s="212"/>
      <c r="G73" s="212"/>
      <c r="H73" s="133">
        <f>H71</f>
        <v>0</v>
      </c>
    </row>
    <row r="74" spans="1:11" s="6" customFormat="1" ht="18" customHeight="1" thickBot="1">
      <c r="A74" s="193" t="s">
        <v>90</v>
      </c>
      <c r="B74" s="194"/>
      <c r="C74" s="194"/>
      <c r="D74" s="194"/>
      <c r="E74" s="194"/>
      <c r="F74" s="194"/>
      <c r="G74" s="195"/>
      <c r="H74" s="133"/>
    </row>
    <row r="75" spans="1:11" s="6" customFormat="1" ht="18" customHeight="1" thickBot="1">
      <c r="A75" s="193" t="s">
        <v>95</v>
      </c>
      <c r="B75" s="194"/>
      <c r="C75" s="194"/>
      <c r="D75" s="194"/>
      <c r="E75" s="194"/>
      <c r="F75" s="194"/>
      <c r="G75" s="195"/>
      <c r="H75" s="133"/>
    </row>
    <row r="76" spans="1:11" ht="18.75">
      <c r="A76" s="211" t="s">
        <v>91</v>
      </c>
      <c r="B76" s="212"/>
      <c r="C76" s="212"/>
      <c r="D76" s="212"/>
      <c r="E76" s="212"/>
      <c r="F76" s="212"/>
      <c r="G76" s="212"/>
      <c r="H76" s="133">
        <f>H30+H39+H48+H53+H56+H35+H18+H26</f>
        <v>3101073.62</v>
      </c>
      <c r="J76" s="174"/>
      <c r="K76" s="145"/>
    </row>
    <row r="77" spans="1:11" ht="18.75">
      <c r="A77" s="204" t="s">
        <v>125</v>
      </c>
      <c r="B77" s="205"/>
      <c r="C77" s="205"/>
      <c r="D77" s="205"/>
      <c r="E77" s="205"/>
      <c r="F77" s="205"/>
      <c r="G77" s="206"/>
      <c r="H77" s="134">
        <f>H74+H76</f>
        <v>3101073.62</v>
      </c>
      <c r="I77" s="129"/>
      <c r="J77" s="216"/>
      <c r="K77" s="216"/>
    </row>
    <row r="78" spans="1:11" ht="18.75">
      <c r="A78" s="204" t="s">
        <v>96</v>
      </c>
      <c r="B78" s="205"/>
      <c r="C78" s="205"/>
      <c r="D78" s="205"/>
      <c r="E78" s="205"/>
      <c r="F78" s="205"/>
      <c r="G78" s="206"/>
      <c r="H78" s="135">
        <f>H75+H73</f>
        <v>0</v>
      </c>
      <c r="J78" s="145"/>
    </row>
    <row r="79" spans="1:11" ht="20.25" customHeight="1" thickBot="1">
      <c r="A79" s="207" t="s">
        <v>86</v>
      </c>
      <c r="B79" s="208"/>
      <c r="C79" s="208"/>
      <c r="D79" s="208"/>
      <c r="E79" s="208"/>
      <c r="F79" s="208"/>
      <c r="G79" s="208"/>
      <c r="H79" s="136">
        <f>H76+H73</f>
        <v>3101073.62</v>
      </c>
      <c r="J79" s="7"/>
    </row>
    <row r="80" spans="1:11" ht="18.75" hidden="1">
      <c r="A80" s="225" t="s">
        <v>17</v>
      </c>
      <c r="B80" s="226"/>
      <c r="C80" s="226"/>
      <c r="D80" s="226"/>
      <c r="E80" s="226"/>
      <c r="F80" s="226"/>
      <c r="G80" s="226"/>
      <c r="H80" s="137">
        <f>H65</f>
        <v>0</v>
      </c>
      <c r="J80" s="7"/>
    </row>
    <row r="81" spans="1:11" ht="18.75" hidden="1">
      <c r="A81" s="138"/>
      <c r="B81" s="138"/>
      <c r="C81" s="138"/>
      <c r="D81" s="138"/>
      <c r="E81" s="138"/>
      <c r="F81" s="138"/>
      <c r="G81" s="138"/>
      <c r="H81" s="139"/>
      <c r="J81" s="7"/>
    </row>
    <row r="82" spans="1:11" ht="18.75" hidden="1">
      <c r="A82" s="138"/>
      <c r="B82" s="138"/>
      <c r="C82" s="138"/>
      <c r="D82" s="138"/>
      <c r="E82" s="138"/>
      <c r="F82" s="138"/>
      <c r="G82" s="138"/>
      <c r="H82" s="139"/>
      <c r="J82" s="7"/>
    </row>
    <row r="83" spans="1:11" ht="18.75" hidden="1">
      <c r="A83" s="138"/>
      <c r="B83" s="138"/>
      <c r="C83" s="138"/>
      <c r="D83" s="138"/>
      <c r="E83" s="138"/>
      <c r="F83" s="138"/>
      <c r="G83" s="138"/>
      <c r="H83" s="139"/>
      <c r="J83" s="7"/>
    </row>
    <row r="84" spans="1:11" ht="14.25" customHeight="1">
      <c r="A84" s="140"/>
      <c r="B84" s="140"/>
      <c r="C84" s="140"/>
      <c r="D84" s="140"/>
      <c r="E84" s="140"/>
      <c r="F84" s="140"/>
      <c r="G84" s="140"/>
      <c r="H84" s="140"/>
    </row>
    <row r="85" spans="1:11" ht="18.75">
      <c r="A85" s="220" t="s">
        <v>10</v>
      </c>
      <c r="B85" s="221"/>
      <c r="C85" s="221"/>
      <c r="D85" s="221"/>
      <c r="E85" s="221"/>
      <c r="F85" s="221"/>
      <c r="G85" s="221"/>
      <c r="H85" s="222"/>
    </row>
    <row r="86" spans="1:11" ht="18.75">
      <c r="A86" s="141" t="s">
        <v>12</v>
      </c>
      <c r="B86" s="142"/>
      <c r="C86" s="142"/>
      <c r="D86" s="142"/>
      <c r="E86" s="142"/>
      <c r="F86" s="142"/>
      <c r="G86" s="142"/>
      <c r="H86" s="143">
        <v>4403223.2156698657</v>
      </c>
    </row>
    <row r="87" spans="1:11">
      <c r="A87" s="81" t="s">
        <v>134</v>
      </c>
      <c r="B87" s="82"/>
      <c r="C87" s="82"/>
      <c r="D87" s="82"/>
      <c r="E87" s="82"/>
      <c r="F87" s="82"/>
      <c r="G87" s="82"/>
      <c r="H87" s="144">
        <f>Planilla!G32</f>
        <v>3704102.8142494997</v>
      </c>
    </row>
    <row r="88" spans="1:11">
      <c r="A88" s="78" t="s">
        <v>151</v>
      </c>
      <c r="B88" s="79"/>
      <c r="C88" s="79"/>
      <c r="D88" s="79"/>
      <c r="E88" s="79"/>
      <c r="F88" s="79"/>
      <c r="G88" s="79"/>
      <c r="H88" s="243">
        <f>-(H79)</f>
        <v>-3101073.62</v>
      </c>
    </row>
    <row r="89" spans="1:11">
      <c r="A89" s="78" t="s">
        <v>87</v>
      </c>
      <c r="B89" s="79"/>
      <c r="C89" s="79"/>
      <c r="D89" s="79"/>
      <c r="E89" s="79"/>
      <c r="F89" s="79"/>
      <c r="G89" s="79"/>
      <c r="H89" s="243">
        <f>-H66</f>
        <v>-2059024</v>
      </c>
      <c r="K89" s="6"/>
    </row>
    <row r="90" spans="1:11">
      <c r="A90" s="78" t="s">
        <v>73</v>
      </c>
      <c r="B90" s="79" t="s">
        <v>117</v>
      </c>
      <c r="C90" s="79"/>
      <c r="D90" s="79"/>
      <c r="E90" s="79"/>
      <c r="F90" s="79"/>
      <c r="G90" s="79"/>
      <c r="H90" s="124">
        <v>133680</v>
      </c>
    </row>
    <row r="91" spans="1:11">
      <c r="A91" s="78" t="s">
        <v>72</v>
      </c>
      <c r="B91" s="79"/>
      <c r="C91" s="79"/>
      <c r="D91" s="79"/>
      <c r="E91" s="79"/>
      <c r="F91" s="79"/>
      <c r="G91" s="79"/>
      <c r="H91" s="124">
        <f>177000-H90</f>
        <v>43320</v>
      </c>
      <c r="I91" s="145"/>
    </row>
    <row r="92" spans="1:11">
      <c r="A92" s="78" t="s">
        <v>157</v>
      </c>
      <c r="B92" s="79"/>
      <c r="C92" s="79"/>
      <c r="D92" s="79"/>
      <c r="E92" s="79"/>
      <c r="F92" s="79"/>
      <c r="G92" s="79"/>
      <c r="H92" s="242">
        <v>-1000000</v>
      </c>
      <c r="I92" s="145"/>
    </row>
    <row r="93" spans="1:11">
      <c r="A93" s="12" t="s">
        <v>123</v>
      </c>
      <c r="B93" s="83"/>
      <c r="C93" s="4"/>
      <c r="D93" s="4"/>
      <c r="E93" s="4"/>
      <c r="F93" s="4"/>
      <c r="G93" s="4"/>
      <c r="H93" s="98"/>
    </row>
    <row r="94" spans="1:11" ht="18.75">
      <c r="A94" s="22" t="s">
        <v>11</v>
      </c>
      <c r="B94" s="23"/>
      <c r="C94" s="23"/>
      <c r="D94" s="23"/>
      <c r="E94" s="23"/>
      <c r="F94" s="23"/>
      <c r="G94" s="23"/>
      <c r="H94" s="84">
        <f>SUM(H86:H93)</f>
        <v>2124228.4099193653</v>
      </c>
    </row>
    <row r="95" spans="1:11" ht="15.75" thickBot="1"/>
    <row r="96" spans="1:11" ht="16.5" thickBot="1">
      <c r="A96" s="217" t="s">
        <v>100</v>
      </c>
      <c r="B96" s="218"/>
      <c r="C96" s="218"/>
      <c r="D96" s="218"/>
      <c r="E96" s="218"/>
      <c r="F96" s="218"/>
      <c r="G96" s="218"/>
      <c r="H96" s="219"/>
    </row>
    <row r="97" spans="1:8" ht="15.75">
      <c r="A97" s="87" t="s">
        <v>12</v>
      </c>
      <c r="B97" s="87"/>
      <c r="C97" s="87"/>
      <c r="D97" s="87"/>
      <c r="E97" s="87"/>
      <c r="F97" s="87"/>
      <c r="G97" s="87"/>
      <c r="H97" s="88">
        <v>0</v>
      </c>
    </row>
    <row r="98" spans="1:8">
      <c r="A98" s="61" t="s">
        <v>124</v>
      </c>
      <c r="B98" s="91"/>
      <c r="C98" s="4"/>
      <c r="D98" s="61"/>
      <c r="E98" s="61"/>
      <c r="F98" s="61"/>
      <c r="G98" s="61"/>
      <c r="H98" s="128"/>
    </row>
    <row r="99" spans="1:8">
      <c r="A99" s="61"/>
      <c r="B99" s="97"/>
      <c r="C99" s="61"/>
      <c r="D99" s="61"/>
      <c r="E99" s="61"/>
      <c r="F99" s="61"/>
      <c r="G99" s="61"/>
      <c r="H99" s="21"/>
    </row>
    <row r="100" spans="1:8">
      <c r="A100" s="61"/>
      <c r="B100" s="61"/>
      <c r="C100" s="61"/>
      <c r="D100" s="61"/>
      <c r="E100" s="61"/>
      <c r="F100" s="61"/>
      <c r="G100" s="61"/>
      <c r="H100" s="21"/>
    </row>
    <row r="101" spans="1:8">
      <c r="A101" s="85" t="s">
        <v>11</v>
      </c>
      <c r="B101" s="85"/>
      <c r="C101" s="85"/>
      <c r="D101" s="85"/>
      <c r="E101" s="85"/>
      <c r="F101" s="85"/>
      <c r="G101" s="85"/>
      <c r="H101" s="86">
        <f>SUM(H97:H100)</f>
        <v>0</v>
      </c>
    </row>
    <row r="104" spans="1:8" hidden="1">
      <c r="A104" s="202"/>
      <c r="B104" s="202"/>
      <c r="C104" s="202"/>
      <c r="D104" s="202"/>
      <c r="E104" s="202"/>
      <c r="F104" s="202"/>
      <c r="G104" s="202"/>
      <c r="H104" s="202"/>
    </row>
    <row r="105" spans="1:8" hidden="1">
      <c r="A105" s="202"/>
      <c r="B105" s="202"/>
      <c r="C105" s="202"/>
      <c r="D105" s="202"/>
      <c r="E105" s="202"/>
      <c r="F105" s="202"/>
      <c r="G105" s="202"/>
      <c r="H105" s="202"/>
    </row>
    <row r="106" spans="1:8" hidden="1">
      <c r="A106" s="202"/>
      <c r="B106" s="202"/>
      <c r="C106" s="202"/>
      <c r="D106" s="202"/>
      <c r="E106" s="202"/>
      <c r="F106" s="202"/>
      <c r="G106" s="202"/>
      <c r="H106" s="202"/>
    </row>
    <row r="107" spans="1:8" hidden="1">
      <c r="A107" s="202"/>
      <c r="B107" s="202"/>
      <c r="C107" s="202"/>
      <c r="D107" s="202"/>
      <c r="E107" s="202"/>
      <c r="F107" s="202"/>
      <c r="G107" s="202"/>
      <c r="H107" s="202"/>
    </row>
  </sheetData>
  <mergeCells count="29">
    <mergeCell ref="J77:K77"/>
    <mergeCell ref="A104:H107"/>
    <mergeCell ref="A96:H96"/>
    <mergeCell ref="A85:H85"/>
    <mergeCell ref="E3:H3"/>
    <mergeCell ref="A76:G76"/>
    <mergeCell ref="A80:G80"/>
    <mergeCell ref="A14:H14"/>
    <mergeCell ref="A36:H36"/>
    <mergeCell ref="A40:H40"/>
    <mergeCell ref="A49:H49"/>
    <mergeCell ref="A54:H54"/>
    <mergeCell ref="A57:H57"/>
    <mergeCell ref="A62:H62"/>
    <mergeCell ref="A78:G78"/>
    <mergeCell ref="A74:G74"/>
    <mergeCell ref="A77:G77"/>
    <mergeCell ref="A79:G79"/>
    <mergeCell ref="A66:G66"/>
    <mergeCell ref="A73:G73"/>
    <mergeCell ref="A69:G69"/>
    <mergeCell ref="A67:H68"/>
    <mergeCell ref="D2:H2"/>
    <mergeCell ref="A31:H31"/>
    <mergeCell ref="A75:G75"/>
    <mergeCell ref="A27:H27"/>
    <mergeCell ref="A19:H19"/>
    <mergeCell ref="A70:G70"/>
    <mergeCell ref="A12:H12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tabSelected="1" zoomScaleNormal="100" workbookViewId="0">
      <selection activeCell="B8" sqref="B8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4.5703125" customWidth="1"/>
    <col min="13" max="13" width="13.42578125" customWidth="1"/>
    <col min="14" max="14" width="15.140625" customWidth="1"/>
    <col min="15" max="15" width="12" bestFit="1" customWidth="1"/>
  </cols>
  <sheetData>
    <row r="1" spans="1:14" ht="26.25" customHeight="1">
      <c r="A1" s="102"/>
      <c r="B1" s="103"/>
      <c r="C1" s="103"/>
      <c r="D1" s="103"/>
      <c r="E1" s="104" t="s">
        <v>68</v>
      </c>
      <c r="F1" s="105" t="str">
        <f>RESUMEN!F8</f>
        <v>OCTUBRE</v>
      </c>
      <c r="G1" s="106"/>
      <c r="H1" s="104" t="str">
        <f>RESUMEN!G8</f>
        <v>VTO: 30/11</v>
      </c>
      <c r="I1" s="103"/>
      <c r="J1" s="103"/>
      <c r="K1" s="103"/>
      <c r="L1" s="103"/>
      <c r="M1" s="103"/>
      <c r="N1" s="107"/>
    </row>
    <row r="2" spans="1:14">
      <c r="A2" s="61"/>
      <c r="B2" s="61"/>
      <c r="C2" s="127">
        <v>1333150</v>
      </c>
      <c r="D2" s="61"/>
      <c r="E2" s="61"/>
      <c r="F2" s="114"/>
      <c r="G2" s="114"/>
      <c r="H2" s="114"/>
      <c r="I2" s="114"/>
      <c r="J2" s="114"/>
      <c r="K2" s="114"/>
      <c r="L2" s="61"/>
      <c r="M2" s="61"/>
      <c r="N2" s="61"/>
    </row>
    <row r="3" spans="1:14">
      <c r="A3" s="115"/>
      <c r="B3" s="116"/>
      <c r="C3" s="101">
        <v>3101073.62</v>
      </c>
      <c r="D3" s="61"/>
      <c r="E3" s="61"/>
      <c r="F3" s="117"/>
      <c r="G3" s="117"/>
      <c r="H3" s="117"/>
      <c r="I3" s="117"/>
      <c r="J3" s="117"/>
      <c r="K3" s="117"/>
      <c r="L3" s="61" t="s">
        <v>79</v>
      </c>
      <c r="M3" s="61"/>
      <c r="N3" s="61"/>
    </row>
    <row r="4" spans="1:14" ht="18.75" customHeight="1">
      <c r="A4" s="118"/>
      <c r="B4" s="119" t="s">
        <v>80</v>
      </c>
      <c r="C4" s="61"/>
      <c r="D4" s="61"/>
      <c r="E4" s="119" t="s">
        <v>82</v>
      </c>
      <c r="F4" s="123">
        <f>3000+102550+102</f>
        <v>105652</v>
      </c>
      <c r="G4" s="117"/>
      <c r="H4" s="117"/>
      <c r="I4" s="117"/>
      <c r="J4" s="117"/>
      <c r="K4" s="117"/>
      <c r="L4" s="61" t="s">
        <v>78</v>
      </c>
      <c r="M4" s="61"/>
      <c r="N4" s="61"/>
    </row>
    <row r="5" spans="1:14" ht="15.75" customHeight="1">
      <c r="A5" s="120"/>
      <c r="B5" s="232">
        <f>C3</f>
        <v>3101073.62</v>
      </c>
      <c r="C5" s="232"/>
      <c r="D5" s="21"/>
      <c r="E5" s="121">
        <v>70000</v>
      </c>
      <c r="F5" s="114"/>
      <c r="G5" s="114"/>
      <c r="H5" s="114"/>
      <c r="I5" s="114"/>
      <c r="J5" s="114"/>
      <c r="K5" s="114"/>
      <c r="L5" s="61"/>
      <c r="M5" s="61"/>
      <c r="N5" s="61"/>
    </row>
    <row r="6" spans="1:14" ht="15.75" customHeight="1">
      <c r="A6" s="120"/>
      <c r="B6" s="122" t="s">
        <v>159</v>
      </c>
      <c r="C6" s="21"/>
      <c r="D6" s="21"/>
      <c r="E6" s="119" t="s">
        <v>104</v>
      </c>
      <c r="F6" s="114"/>
      <c r="G6" s="114"/>
      <c r="H6" s="114"/>
      <c r="I6" s="114"/>
      <c r="J6" s="114"/>
      <c r="K6" s="114"/>
      <c r="L6" s="61"/>
      <c r="M6" s="61"/>
      <c r="N6" s="61"/>
    </row>
    <row r="7" spans="1:14" ht="18.75" customHeight="1">
      <c r="A7" s="120"/>
      <c r="B7" s="232">
        <f>RESUMEN!H58</f>
        <v>1959024</v>
      </c>
      <c r="C7" s="232"/>
      <c r="D7" s="21"/>
      <c r="E7" s="21"/>
      <c r="F7" s="114"/>
      <c r="G7" s="114"/>
      <c r="H7" s="114"/>
      <c r="I7" s="114"/>
      <c r="J7" s="114"/>
      <c r="K7" s="114"/>
      <c r="L7" s="61"/>
      <c r="M7" s="61"/>
      <c r="N7" s="61"/>
    </row>
    <row r="8" spans="1:14" ht="53.25" customHeight="1" thickBot="1">
      <c r="A8" s="108" t="s">
        <v>0</v>
      </c>
      <c r="B8" s="109" t="s">
        <v>3</v>
      </c>
      <c r="C8" s="110" t="s">
        <v>1</v>
      </c>
      <c r="D8" s="111" t="s">
        <v>106</v>
      </c>
      <c r="E8" s="109" t="s">
        <v>2</v>
      </c>
      <c r="F8" s="112" t="s">
        <v>16</v>
      </c>
      <c r="G8" s="112" t="s">
        <v>63</v>
      </c>
      <c r="H8" s="112" t="s">
        <v>64</v>
      </c>
      <c r="I8" s="112" t="s">
        <v>142</v>
      </c>
      <c r="J8" s="112" t="s">
        <v>65</v>
      </c>
      <c r="K8" s="126" t="s">
        <v>130</v>
      </c>
      <c r="L8" s="109" t="s">
        <v>7</v>
      </c>
      <c r="M8" s="109" t="s">
        <v>160</v>
      </c>
      <c r="N8" s="113" t="s">
        <v>8</v>
      </c>
    </row>
    <row r="9" spans="1:14" ht="15" customHeight="1">
      <c r="A9" s="172">
        <v>1</v>
      </c>
      <c r="B9" s="168" t="s">
        <v>40</v>
      </c>
      <c r="C9" s="169" t="s">
        <v>19</v>
      </c>
      <c r="D9" s="169" t="s">
        <v>105</v>
      </c>
      <c r="E9" s="170">
        <v>4.0500000000000001E-2</v>
      </c>
      <c r="F9" s="98">
        <v>593165.56411332928</v>
      </c>
      <c r="G9" s="237">
        <f>F9</f>
        <v>593165.56411332928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4278.9059999999999</v>
      </c>
      <c r="L9" s="171">
        <f>B$5*E9</f>
        <v>125593.48161</v>
      </c>
      <c r="M9" s="171">
        <f>B$7*E9</f>
        <v>79340.472000000009</v>
      </c>
      <c r="N9" s="171">
        <f>H9+I9-J9+K9+L9+M9</f>
        <v>209212.85961000001</v>
      </c>
    </row>
    <row r="10" spans="1:14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209002.56011999998</v>
      </c>
      <c r="G10" s="238">
        <f>F10</f>
        <v>209002.56011999998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6846.2495999999992</v>
      </c>
      <c r="L10" s="25">
        <f t="shared" ref="L10:L31" si="3">B$5*E10</f>
        <v>200949.570576</v>
      </c>
      <c r="M10" s="25">
        <f t="shared" ref="M10:M31" si="4">B$7*E10</f>
        <v>126944.7552</v>
      </c>
      <c r="N10" s="25">
        <f t="shared" ref="N10:N31" si="5">H10+I10-J10+K10+L10+M10</f>
        <v>334740.57537600002</v>
      </c>
    </row>
    <row r="11" spans="1:14" ht="15" customHeight="1">
      <c r="A11" s="167">
        <v>3</v>
      </c>
      <c r="B11" s="168" t="s">
        <v>42</v>
      </c>
      <c r="C11" s="169" t="s">
        <v>21</v>
      </c>
      <c r="D11" s="169" t="s">
        <v>107</v>
      </c>
      <c r="E11" s="170">
        <v>4.82E-2</v>
      </c>
      <c r="F11" s="98">
        <v>155423.56165999995</v>
      </c>
      <c r="G11" s="238">
        <v>155430</v>
      </c>
      <c r="H11" s="68">
        <f t="shared" si="0"/>
        <v>0</v>
      </c>
      <c r="I11" s="68">
        <f t="shared" ref="I11:I31" si="6">H11*3.7%</f>
        <v>0</v>
      </c>
      <c r="J11" s="68">
        <f t="shared" si="1"/>
        <v>6.4383400000515394</v>
      </c>
      <c r="K11" s="68">
        <f t="shared" si="2"/>
        <v>5092.4264000000003</v>
      </c>
      <c r="L11" s="171">
        <f t="shared" si="3"/>
        <v>149471.74848400001</v>
      </c>
      <c r="M11" s="171">
        <f t="shared" si="4"/>
        <v>94424.9568</v>
      </c>
      <c r="N11" s="171">
        <f>H11+I11-J11+K11+L11+M11+E7</f>
        <v>248982.69334399997</v>
      </c>
    </row>
    <row r="12" spans="1:14" ht="15" customHeight="1">
      <c r="A12" s="146">
        <v>4</v>
      </c>
      <c r="B12" s="158" t="s">
        <v>43</v>
      </c>
      <c r="C12" s="156" t="s">
        <v>102</v>
      </c>
      <c r="D12" s="156" t="s">
        <v>108</v>
      </c>
      <c r="E12" s="157">
        <v>5.3499999999999999E-2</v>
      </c>
      <c r="F12" s="150">
        <v>2604576.1956058415</v>
      </c>
      <c r="G12" s="239"/>
      <c r="H12" s="151">
        <f t="shared" si="0"/>
        <v>2604576.1956058415</v>
      </c>
      <c r="I12" s="151">
        <f t="shared" si="6"/>
        <v>96369.319237416144</v>
      </c>
      <c r="J12" s="151">
        <f t="shared" si="1"/>
        <v>0</v>
      </c>
      <c r="K12" s="151">
        <f t="shared" si="2"/>
        <v>5652.3819999999996</v>
      </c>
      <c r="L12" s="152">
        <f t="shared" si="3"/>
        <v>165907.43867</v>
      </c>
      <c r="M12" s="152">
        <f t="shared" si="4"/>
        <v>104807.784</v>
      </c>
      <c r="N12" s="152">
        <f t="shared" si="5"/>
        <v>2977313.1195132579</v>
      </c>
    </row>
    <row r="13" spans="1:14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124175.90377499998</v>
      </c>
      <c r="G13" s="238">
        <f>F13</f>
        <v>124175.90377499998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4067.6019999999999</v>
      </c>
      <c r="L13" s="25">
        <f t="shared" si="3"/>
        <v>119391.33437</v>
      </c>
      <c r="M13" s="25">
        <f t="shared" si="4"/>
        <v>75422.423999999999</v>
      </c>
      <c r="N13" s="25">
        <f t="shared" si="5"/>
        <v>198881.36037000001</v>
      </c>
    </row>
    <row r="14" spans="1:14" ht="15" customHeight="1">
      <c r="A14" s="51">
        <v>6</v>
      </c>
      <c r="B14" s="40" t="s">
        <v>45</v>
      </c>
      <c r="C14" s="93" t="s">
        <v>24</v>
      </c>
      <c r="D14" s="92" t="s">
        <v>109</v>
      </c>
      <c r="E14" s="45">
        <v>3.5900000000000001E-2</v>
      </c>
      <c r="F14" s="17">
        <v>115789.99858500001</v>
      </c>
      <c r="G14" s="238">
        <f>F14</f>
        <v>115789.99858500001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3792.9068000000002</v>
      </c>
      <c r="L14" s="25">
        <f t="shared" si="3"/>
        <v>111328.54295800001</v>
      </c>
      <c r="M14" s="25">
        <f t="shared" si="4"/>
        <v>70328.96160000001</v>
      </c>
      <c r="N14" s="25">
        <f t="shared" si="5"/>
        <v>185450.41135800001</v>
      </c>
    </row>
    <row r="15" spans="1:14" ht="15" customHeight="1">
      <c r="A15" s="51">
        <v>7</v>
      </c>
      <c r="B15" s="40" t="s">
        <v>46</v>
      </c>
      <c r="C15" s="93" t="s">
        <v>154</v>
      </c>
      <c r="D15" s="92" t="s">
        <v>110</v>
      </c>
      <c r="E15" s="45">
        <v>4.1399999999999999E-2</v>
      </c>
      <c r="F15" s="17">
        <v>271999.41511616996</v>
      </c>
      <c r="G15" s="238">
        <f>F15</f>
        <v>271999.41511616996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4373.9928</v>
      </c>
      <c r="L15" s="25">
        <f t="shared" si="3"/>
        <v>128384.447868</v>
      </c>
      <c r="M15" s="25">
        <f t="shared" si="4"/>
        <v>81103.593599999993</v>
      </c>
      <c r="N15" s="25">
        <f t="shared" si="5"/>
        <v>213862.03426799999</v>
      </c>
    </row>
    <row r="16" spans="1:14" ht="15" customHeight="1">
      <c r="A16" s="51">
        <v>8</v>
      </c>
      <c r="B16" s="40" t="s">
        <v>47</v>
      </c>
      <c r="C16" s="93" t="s">
        <v>77</v>
      </c>
      <c r="D16" s="92" t="s">
        <v>111</v>
      </c>
      <c r="E16" s="45">
        <v>5.3499999999999999E-2</v>
      </c>
      <c r="F16" s="17">
        <v>172556.12602500001</v>
      </c>
      <c r="G16" s="238">
        <f>F16</f>
        <v>172556.12602500001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5652.3819999999996</v>
      </c>
      <c r="L16" s="25">
        <f t="shared" si="3"/>
        <v>165907.43867</v>
      </c>
      <c r="M16" s="25">
        <f t="shared" si="4"/>
        <v>104807.784</v>
      </c>
      <c r="N16" s="25">
        <f t="shared" si="5"/>
        <v>276367.60467000003</v>
      </c>
    </row>
    <row r="17" spans="1:15" ht="15" customHeight="1">
      <c r="A17" s="51">
        <v>9</v>
      </c>
      <c r="B17" s="40" t="s">
        <v>48</v>
      </c>
      <c r="C17" s="93" t="s">
        <v>26</v>
      </c>
      <c r="D17" s="92" t="s">
        <v>112</v>
      </c>
      <c r="E17" s="45">
        <v>3.85E-2</v>
      </c>
      <c r="F17" s="17">
        <v>124175.90377499998</v>
      </c>
      <c r="G17" s="238">
        <f>F17+24</f>
        <v>124199.90377499998</v>
      </c>
      <c r="H17" s="24">
        <f t="shared" si="0"/>
        <v>0</v>
      </c>
      <c r="I17" s="24">
        <f t="shared" si="6"/>
        <v>0</v>
      </c>
      <c r="J17" s="24">
        <f t="shared" si="1"/>
        <v>24</v>
      </c>
      <c r="K17" s="24">
        <f t="shared" si="2"/>
        <v>4067.6019999999999</v>
      </c>
      <c r="L17" s="25">
        <f t="shared" si="3"/>
        <v>119391.33437</v>
      </c>
      <c r="M17" s="25">
        <f t="shared" si="4"/>
        <v>75422.423999999999</v>
      </c>
      <c r="N17" s="25">
        <f t="shared" si="5"/>
        <v>198857.36037000001</v>
      </c>
    </row>
    <row r="18" spans="1:15" ht="15" customHeight="1">
      <c r="A18" s="181">
        <v>10</v>
      </c>
      <c r="B18" s="182" t="s">
        <v>49</v>
      </c>
      <c r="C18" s="183" t="s">
        <v>27</v>
      </c>
      <c r="D18" s="184"/>
      <c r="E18" s="185">
        <v>3.5900000000000001E-2</v>
      </c>
      <c r="F18" s="186">
        <v>514182.91629160853</v>
      </c>
      <c r="G18" s="240">
        <f>359200</f>
        <v>359200</v>
      </c>
      <c r="H18" s="187">
        <f>IF(F18&gt;G18,F18-G18,0)</f>
        <v>154982.91629160853</v>
      </c>
      <c r="I18" s="187">
        <f t="shared" si="6"/>
        <v>5734.3679027895168</v>
      </c>
      <c r="J18" s="187">
        <f t="shared" si="1"/>
        <v>0</v>
      </c>
      <c r="K18" s="187">
        <f t="shared" si="2"/>
        <v>3792.9068000000002</v>
      </c>
      <c r="L18" s="188">
        <f t="shared" si="3"/>
        <v>111328.54295800001</v>
      </c>
      <c r="M18" s="188">
        <f t="shared" si="4"/>
        <v>70328.96160000001</v>
      </c>
      <c r="N18" s="188">
        <f t="shared" si="5"/>
        <v>346167.6955523981</v>
      </c>
    </row>
    <row r="19" spans="1:15" ht="15" customHeight="1">
      <c r="A19" s="146">
        <v>11</v>
      </c>
      <c r="B19" s="153" t="s">
        <v>50</v>
      </c>
      <c r="C19" s="154" t="s">
        <v>28</v>
      </c>
      <c r="D19" s="156" t="s">
        <v>113</v>
      </c>
      <c r="E19" s="157">
        <v>4.1399999999999999E-2</v>
      </c>
      <c r="F19" s="150">
        <v>1744190.8615374537</v>
      </c>
      <c r="G19" s="239"/>
      <c r="H19" s="151">
        <f t="shared" si="0"/>
        <v>1744190.8615374537</v>
      </c>
      <c r="I19" s="151">
        <f t="shared" si="6"/>
        <v>64535.061876885797</v>
      </c>
      <c r="J19" s="151">
        <f t="shared" si="1"/>
        <v>0</v>
      </c>
      <c r="K19" s="151">
        <f t="shared" si="2"/>
        <v>4373.9928</v>
      </c>
      <c r="L19" s="152">
        <f t="shared" si="3"/>
        <v>128384.447868</v>
      </c>
      <c r="M19" s="152">
        <f t="shared" si="4"/>
        <v>81103.593599999993</v>
      </c>
      <c r="N19" s="152">
        <f t="shared" si="5"/>
        <v>2022587.9576823395</v>
      </c>
    </row>
    <row r="20" spans="1:15" ht="15" customHeight="1">
      <c r="A20" s="51">
        <v>12</v>
      </c>
      <c r="B20" s="41" t="s">
        <v>51</v>
      </c>
      <c r="C20" s="100" t="s">
        <v>119</v>
      </c>
      <c r="D20" s="96" t="s">
        <v>128</v>
      </c>
      <c r="E20" s="46">
        <v>5.3499999999999999E-2</v>
      </c>
      <c r="F20" s="17">
        <v>172556.12602500001</v>
      </c>
      <c r="G20" s="238">
        <f>172600</f>
        <v>172600</v>
      </c>
      <c r="H20" s="24">
        <f t="shared" si="0"/>
        <v>0</v>
      </c>
      <c r="I20" s="24">
        <f t="shared" si="6"/>
        <v>0</v>
      </c>
      <c r="J20" s="24">
        <f t="shared" si="1"/>
        <v>43.873974999994971</v>
      </c>
      <c r="K20" s="24">
        <f t="shared" si="2"/>
        <v>5652.3819999999996</v>
      </c>
      <c r="L20" s="25">
        <f t="shared" si="3"/>
        <v>165907.43867</v>
      </c>
      <c r="M20" s="25">
        <f t="shared" si="4"/>
        <v>104807.784</v>
      </c>
      <c r="N20" s="25">
        <f t="shared" si="5"/>
        <v>276323.73069500003</v>
      </c>
    </row>
    <row r="21" spans="1:15" ht="15" customHeight="1">
      <c r="A21" s="146">
        <v>13</v>
      </c>
      <c r="B21" s="153" t="s">
        <v>52</v>
      </c>
      <c r="C21" s="154" t="s">
        <v>30</v>
      </c>
      <c r="D21" s="154" t="s">
        <v>141</v>
      </c>
      <c r="E21" s="155">
        <v>3.85E-2</v>
      </c>
      <c r="F21" s="150">
        <v>970537.78993118776</v>
      </c>
      <c r="G21" s="241">
        <v>241030</v>
      </c>
      <c r="H21" s="151">
        <f t="shared" si="0"/>
        <v>729507.78993118776</v>
      </c>
      <c r="I21" s="151">
        <f t="shared" si="6"/>
        <v>26991.788227453952</v>
      </c>
      <c r="J21" s="151">
        <f t="shared" si="1"/>
        <v>0</v>
      </c>
      <c r="K21" s="151">
        <f t="shared" si="2"/>
        <v>4067.6019999999999</v>
      </c>
      <c r="L21" s="152">
        <f t="shared" si="3"/>
        <v>119391.33437</v>
      </c>
      <c r="M21" s="152">
        <f t="shared" si="4"/>
        <v>75422.423999999999</v>
      </c>
      <c r="N21" s="152">
        <f t="shared" si="5"/>
        <v>955380.93852864171</v>
      </c>
    </row>
    <row r="22" spans="1:15" ht="15" customHeight="1">
      <c r="A22" s="51">
        <v>14</v>
      </c>
      <c r="B22" s="40" t="s">
        <v>53</v>
      </c>
      <c r="C22" s="93" t="s">
        <v>31</v>
      </c>
      <c r="D22" s="93" t="s">
        <v>114</v>
      </c>
      <c r="E22" s="47">
        <v>3.5900000000000001E-2</v>
      </c>
      <c r="F22" s="17">
        <v>115789.99858500001</v>
      </c>
      <c r="G22" s="238">
        <f>F22</f>
        <v>115789.99858500001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3792.9068000000002</v>
      </c>
      <c r="L22" s="25">
        <f t="shared" si="3"/>
        <v>111328.54295800001</v>
      </c>
      <c r="M22" s="25">
        <f t="shared" si="4"/>
        <v>70328.96160000001</v>
      </c>
      <c r="N22" s="25">
        <f t="shared" si="5"/>
        <v>185450.41135800001</v>
      </c>
    </row>
    <row r="23" spans="1:15" ht="15" customHeight="1">
      <c r="A23" s="51">
        <v>15</v>
      </c>
      <c r="B23" s="42" t="s">
        <v>54</v>
      </c>
      <c r="C23" s="94" t="s">
        <v>32</v>
      </c>
      <c r="D23" s="94" t="s">
        <v>115</v>
      </c>
      <c r="E23" s="48">
        <v>4.1399999999999999E-2</v>
      </c>
      <c r="F23" s="17">
        <v>133529.41340999998</v>
      </c>
      <c r="G23" s="238">
        <v>129592</v>
      </c>
      <c r="H23" s="24">
        <f t="shared" si="0"/>
        <v>3937.4134099999792</v>
      </c>
      <c r="I23" s="24">
        <f t="shared" si="6"/>
        <v>145.68429616999924</v>
      </c>
      <c r="J23" s="24">
        <f t="shared" si="1"/>
        <v>0</v>
      </c>
      <c r="K23" s="24">
        <f t="shared" si="2"/>
        <v>4373.9928</v>
      </c>
      <c r="L23" s="25">
        <f t="shared" si="3"/>
        <v>128384.447868</v>
      </c>
      <c r="M23" s="25">
        <f t="shared" si="4"/>
        <v>81103.593599999993</v>
      </c>
      <c r="N23" s="25">
        <f t="shared" si="5"/>
        <v>217945.13197416998</v>
      </c>
    </row>
    <row r="24" spans="1:15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172556.12602500001</v>
      </c>
      <c r="G24" s="238">
        <f>F24</f>
        <v>172556.12602500001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5652.3819999999996</v>
      </c>
      <c r="L24" s="25">
        <f t="shared" si="3"/>
        <v>165907.43867</v>
      </c>
      <c r="M24" s="25">
        <f t="shared" si="4"/>
        <v>104807.784</v>
      </c>
      <c r="N24" s="25">
        <f t="shared" si="5"/>
        <v>276367.60467000003</v>
      </c>
    </row>
    <row r="25" spans="1:15" s="1" customFormat="1" ht="15.75" customHeight="1">
      <c r="A25" s="51">
        <v>17</v>
      </c>
      <c r="B25" s="66" t="s">
        <v>56</v>
      </c>
      <c r="C25" s="95" t="s">
        <v>94</v>
      </c>
      <c r="D25" s="95" t="s">
        <v>116</v>
      </c>
      <c r="E25" s="49">
        <v>3.85E-2</v>
      </c>
      <c r="F25" s="17">
        <v>124175.90377499998</v>
      </c>
      <c r="G25" s="238">
        <f>F25</f>
        <v>124175.90377499998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4067.6019999999999</v>
      </c>
      <c r="L25" s="25">
        <f t="shared" si="3"/>
        <v>119391.33437</v>
      </c>
      <c r="M25" s="25">
        <f t="shared" si="4"/>
        <v>75422.423999999999</v>
      </c>
      <c r="N25" s="25">
        <f t="shared" si="5"/>
        <v>198881.36037000001</v>
      </c>
    </row>
    <row r="26" spans="1:15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115789.99858500001</v>
      </c>
      <c r="G26" s="238">
        <f>F26</f>
        <v>115789.99858500001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3792.9068000000002</v>
      </c>
      <c r="L26" s="25">
        <f t="shared" si="3"/>
        <v>111328.54295800001</v>
      </c>
      <c r="M26" s="25">
        <f t="shared" si="4"/>
        <v>70328.96160000001</v>
      </c>
      <c r="N26" s="25">
        <f t="shared" si="5"/>
        <v>185450.41135800001</v>
      </c>
    </row>
    <row r="27" spans="1:15" ht="15" customHeight="1">
      <c r="A27" s="146">
        <v>19</v>
      </c>
      <c r="B27" s="147" t="s">
        <v>58</v>
      </c>
      <c r="C27" s="148" t="s">
        <v>35</v>
      </c>
      <c r="D27" s="148" t="s">
        <v>129</v>
      </c>
      <c r="E27" s="149">
        <v>4.1399999999999999E-2</v>
      </c>
      <c r="F27" s="150">
        <v>2688223.6303953365</v>
      </c>
      <c r="G27" s="239">
        <v>133530</v>
      </c>
      <c r="H27" s="173">
        <f t="shared" si="0"/>
        <v>2554693.6303953365</v>
      </c>
      <c r="I27" s="151">
        <f t="shared" si="6"/>
        <v>94523.664324627462</v>
      </c>
      <c r="J27" s="151">
        <f t="shared" si="1"/>
        <v>0</v>
      </c>
      <c r="K27" s="151">
        <f t="shared" si="2"/>
        <v>4373.9928</v>
      </c>
      <c r="L27" s="152">
        <f t="shared" si="3"/>
        <v>128384.447868</v>
      </c>
      <c r="M27" s="152">
        <f t="shared" si="4"/>
        <v>81103.593599999993</v>
      </c>
      <c r="N27" s="152">
        <f t="shared" si="5"/>
        <v>2863079.3289879635</v>
      </c>
    </row>
    <row r="28" spans="1:15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781282.18712432007</v>
      </c>
      <c r="G28" s="238"/>
      <c r="H28" s="68">
        <f t="shared" si="0"/>
        <v>781282.18712432007</v>
      </c>
      <c r="I28" s="24">
        <f t="shared" si="6"/>
        <v>28907.440923599846</v>
      </c>
      <c r="J28" s="24">
        <f t="shared" si="1"/>
        <v>0</v>
      </c>
      <c r="K28" s="24"/>
      <c r="L28" s="25">
        <f t="shared" si="3"/>
        <v>165907.43867</v>
      </c>
      <c r="M28" s="25">
        <f t="shared" si="4"/>
        <v>104807.784</v>
      </c>
      <c r="N28" s="25">
        <f t="shared" si="5"/>
        <v>1080904.8507179199</v>
      </c>
      <c r="O28" s="7"/>
    </row>
    <row r="29" spans="1:15" ht="15" customHeight="1">
      <c r="A29" s="51">
        <v>21</v>
      </c>
      <c r="B29" s="43" t="s">
        <v>60</v>
      </c>
      <c r="C29" s="95" t="s">
        <v>103</v>
      </c>
      <c r="D29" s="95"/>
      <c r="E29" s="49">
        <v>3.85E-2</v>
      </c>
      <c r="F29" s="17">
        <v>124175.90377499998</v>
      </c>
      <c r="G29" s="238">
        <f>F29+24</f>
        <v>124199.90377499998</v>
      </c>
      <c r="H29" s="24">
        <f t="shared" si="0"/>
        <v>0</v>
      </c>
      <c r="I29" s="24">
        <f t="shared" si="6"/>
        <v>0</v>
      </c>
      <c r="J29" s="24">
        <f t="shared" si="1"/>
        <v>24</v>
      </c>
      <c r="K29" s="24">
        <f t="shared" si="2"/>
        <v>4067.6019999999999</v>
      </c>
      <c r="L29" s="25">
        <f t="shared" si="3"/>
        <v>119391.33437</v>
      </c>
      <c r="M29" s="25">
        <f t="shared" si="4"/>
        <v>75422.423999999999</v>
      </c>
      <c r="N29" s="25">
        <f t="shared" si="5"/>
        <v>198857.36037000001</v>
      </c>
      <c r="O29" s="7"/>
    </row>
    <row r="30" spans="1:15" ht="15" customHeight="1">
      <c r="A30" s="51">
        <v>22</v>
      </c>
      <c r="B30" s="43" t="s">
        <v>61</v>
      </c>
      <c r="C30" s="95" t="s">
        <v>126</v>
      </c>
      <c r="D30" s="95" t="s">
        <v>133</v>
      </c>
      <c r="E30" s="49">
        <v>3.5900000000000001E-2</v>
      </c>
      <c r="F30" s="17">
        <v>115789.99858500001</v>
      </c>
      <c r="G30" s="238">
        <f>F30</f>
        <v>115789.99858500001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3792.9068000000002</v>
      </c>
      <c r="L30" s="25">
        <f t="shared" si="3"/>
        <v>111328.54295800001</v>
      </c>
      <c r="M30" s="25">
        <f t="shared" si="4"/>
        <v>70328.96160000001</v>
      </c>
      <c r="N30" s="25">
        <f t="shared" si="5"/>
        <v>185450.41135800001</v>
      </c>
    </row>
    <row r="31" spans="1:15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133529.41340999998</v>
      </c>
      <c r="G31" s="238">
        <f>F31</f>
        <v>133529.41340999998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4373.9928</v>
      </c>
      <c r="L31" s="25">
        <f t="shared" si="3"/>
        <v>128384.447868</v>
      </c>
      <c r="M31" s="25">
        <f t="shared" si="4"/>
        <v>81103.593599999993</v>
      </c>
      <c r="N31" s="25">
        <f t="shared" si="5"/>
        <v>213862.03426799999</v>
      </c>
    </row>
    <row r="32" spans="1:15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12277175.496230245</v>
      </c>
      <c r="G32" s="99">
        <f>SUM(G9:G31)</f>
        <v>3704102.8142494997</v>
      </c>
      <c r="H32" s="125">
        <f>SUM(H9:H31)</f>
        <v>8573170.9942957461</v>
      </c>
      <c r="I32" s="54">
        <f>SUM(I9:I31)</f>
        <v>317207.32678894268</v>
      </c>
      <c r="J32" s="99">
        <f t="shared" ref="J32" si="7">SUM(J9:J31)</f>
        <v>98.31231500004651</v>
      </c>
      <c r="K32" s="90">
        <f>SUM(K9:K31)</f>
        <v>99999.617999999959</v>
      </c>
      <c r="L32" s="54">
        <f>SUM(L9:L31)</f>
        <v>3101073.62</v>
      </c>
      <c r="M32" s="90">
        <f>SUM(M9:M31)</f>
        <v>1959024.0000000002</v>
      </c>
      <c r="N32" s="54">
        <f>SUM(N9:N31)</f>
        <v>14050377.246769693</v>
      </c>
    </row>
    <row r="33" spans="1:14" ht="14.25" customHeight="1"/>
    <row r="34" spans="1:14" hidden="1"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</row>
    <row r="35" spans="1:14" hidden="1">
      <c r="B35" s="231"/>
      <c r="C35" s="231"/>
      <c r="D35" s="231"/>
      <c r="E35" s="231"/>
      <c r="F35" s="231"/>
      <c r="G35" s="231"/>
      <c r="H35" s="231"/>
      <c r="I35" s="231"/>
      <c r="J35" s="231"/>
      <c r="K35" s="231"/>
      <c r="L35" s="231"/>
      <c r="M35" s="231"/>
      <c r="N35" s="231"/>
    </row>
    <row r="36" spans="1:14" hidden="1">
      <c r="B36" s="231"/>
      <c r="C36" s="231"/>
      <c r="D36" s="231"/>
      <c r="E36" s="231"/>
      <c r="F36" s="231"/>
      <c r="G36" s="231"/>
      <c r="H36" s="231"/>
      <c r="I36" s="231"/>
      <c r="J36" s="231"/>
      <c r="K36" s="231"/>
      <c r="L36" s="231"/>
      <c r="M36" s="231"/>
      <c r="N36" s="231"/>
    </row>
    <row r="37" spans="1:14" hidden="1">
      <c r="B37" s="231"/>
      <c r="C37" s="231"/>
      <c r="D37" s="231"/>
      <c r="E37" s="231"/>
      <c r="F37" s="231"/>
      <c r="G37" s="231"/>
      <c r="H37" s="231"/>
      <c r="I37" s="231"/>
      <c r="J37" s="231"/>
      <c r="K37" s="231"/>
      <c r="L37" s="231"/>
      <c r="M37" s="231"/>
      <c r="N37" s="231"/>
    </row>
    <row r="38" spans="1:14" hidden="1">
      <c r="A38" s="233"/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</row>
    <row r="39" spans="1:14" hidden="1">
      <c r="A39" s="233"/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</row>
    <row r="40" spans="1:14" hidden="1">
      <c r="A40" s="233"/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34" t="s">
        <v>93</v>
      </c>
      <c r="B1" s="235"/>
      <c r="C1" s="235"/>
      <c r="D1" s="235"/>
      <c r="E1" s="235"/>
      <c r="F1" s="235"/>
      <c r="G1" s="236"/>
    </row>
    <row r="2" spans="1:7">
      <c r="A2" s="30"/>
      <c r="G2" s="31"/>
    </row>
    <row r="3" spans="1:7">
      <c r="A3" s="57"/>
      <c r="B3" s="59" t="s">
        <v>92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97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99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99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99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99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99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99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0">
        <f t="shared" si="0"/>
        <v>21400</v>
      </c>
      <c r="F16" s="70"/>
      <c r="G16" s="70" t="s">
        <v>99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99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99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99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99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99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99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99</v>
      </c>
    </row>
    <row r="25" spans="1:7" ht="15.75">
      <c r="A25" s="51">
        <v>17</v>
      </c>
      <c r="B25" s="66" t="s">
        <v>56</v>
      </c>
      <c r="C25" s="65" t="s">
        <v>94</v>
      </c>
      <c r="D25" s="49">
        <v>3.85E-2</v>
      </c>
      <c r="E25" s="70">
        <f t="shared" si="0"/>
        <v>15400</v>
      </c>
      <c r="F25" s="70"/>
      <c r="G25" s="70" t="s">
        <v>99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99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99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99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99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99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98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2025-11-12T21:46:14Z</cp:lastPrinted>
  <dcterms:created xsi:type="dcterms:W3CDTF">2021-10-25T13:53:39Z</dcterms:created>
  <dcterms:modified xsi:type="dcterms:W3CDTF">2025-11-12T21:46:18Z</dcterms:modified>
</cp:coreProperties>
</file>