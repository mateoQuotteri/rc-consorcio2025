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Octubre\"/>
    </mc:Choice>
  </mc:AlternateContent>
  <xr:revisionPtr revIDLastSave="0" documentId="13_ncr:1_{96C17160-758B-48A0-95E0-73FE9D94A2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1" i="27" l="1"/>
  <c r="G20" i="1"/>
  <c r="G17" i="1"/>
  <c r="G29" i="1"/>
  <c r="G18" i="1"/>
  <c r="H33" i="27" l="1"/>
  <c r="G26" i="1"/>
  <c r="H1" i="1"/>
  <c r="G25" i="1" l="1"/>
  <c r="M9" i="1" l="1"/>
  <c r="G13" i="1"/>
  <c r="H48" i="27" l="1"/>
  <c r="G30" i="1" l="1"/>
  <c r="H53" i="27" l="1"/>
  <c r="H30" i="27"/>
  <c r="H18" i="27"/>
  <c r="H39" i="27"/>
  <c r="G16" i="1" l="1"/>
  <c r="G22" i="1" l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71" i="27"/>
  <c r="F1" i="1" l="1"/>
  <c r="H35" i="27" l="1"/>
  <c r="H18" i="1" l="1"/>
  <c r="I18" i="1" s="1"/>
  <c r="G10" i="1" l="1"/>
  <c r="G32" i="1" s="1"/>
  <c r="H100" i="27" l="1"/>
  <c r="H56" i="27" l="1"/>
  <c r="H76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3" i="27" l="1"/>
  <c r="H78" i="27" l="1"/>
  <c r="H79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1" i="27"/>
  <c r="H66" i="27" s="1"/>
  <c r="H89" i="27" s="1"/>
  <c r="H88" i="27" l="1"/>
  <c r="F32" i="1"/>
  <c r="E32" i="1"/>
  <c r="B32" i="1"/>
  <c r="H77" i="27" l="1"/>
  <c r="H65" i="27"/>
  <c r="H80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7" i="27"/>
  <c r="H93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<sst xmlns="http://schemas.openxmlformats.org/spreadsheetml/2006/main" count="235" uniqueCount="158">
  <si>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</si>
  <si>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</si>
  <si>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</si>
  <si>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</si>
  <si>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</si>
  <si>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</si>
  <si>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</si>
  <si>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</si>
  <si>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</si>
  <si>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</si>
  <si>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</si>
  <si>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</si>
  <si>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</si>
  <si>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</si>
  <si>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</si>
  <si>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</si>
  <si>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</si>
  <si>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</si>
  <si>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</si>
  <si>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</si>
  <si>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</si>
  <si>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</si>
  <si>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</si>
  <si>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</si>
  <si>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</si>
  <si>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</si>
  <si>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</si>
  <si>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</si>
  <si>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</si>
  <si>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</si>
  <si>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</si>
  <si>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</si>
  <si>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</si>
  <si>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</si>
  <si>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</si>
  <si>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</si>
  <si>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</si>
  <si>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</si>
  <si>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</si>
  <si>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</si>
  <si>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</si>
  <si>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</si>
  <si>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</si>
  <si>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</si>
  <si>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</si>
  <si>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</si>
  <si>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</si>
  <si>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</si>
  <si>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</si>
  <si>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</si>
  <si>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</si>
  <si>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</si>
  <si>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</si>
  <si>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</si>
  <si>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</si>
  <si>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</si>
  <si>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</si>
  <si>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</si>
  <si>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</si>
  <si>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</si>
  <si>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</si>
  <si>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</si>
  <si>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</si>
  <si>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</si>
  <si>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</si>
  <si>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</si>
  <si>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</si>
  <si>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</si>
  <si>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</si>
  <si>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</si>
  <si>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</si>
  <si>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</si>
  <si>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</si>
  <si>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</si>
  <si>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</si>
  <si>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</si>
  <si>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</si>
  <si>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</si>
  <si>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</si>
  <si>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</si>
  <si>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</si>
  <si>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</si>
  <si>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</si>
  <si>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</si>
  <si>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</si>
  <si>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</si>
  <si>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</si>
  <si>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</si>
  <si>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</si>
  <si>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</si>
  <si>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</si>
  <si>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</si>
  <si>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</si>
  <si>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</si>
  <si>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</si>
  <si>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</si>
  <si>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</si>
  <si>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</si>
  <si>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</si>
  <si>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</si>
  <si>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</si>
  <si>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</si>
  <si>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</si>
  <si>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</si>
  <si>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</si>
  <si>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</si>
  <si>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</si>
  <si>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</si>
  <si>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</si>
  <si>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</si>
  <si>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</si>
  <si>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</si>
  <si>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</si>
  <si>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</si>
  <si>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</si>
  <si>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</si>
  <si>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</si>
  <si>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</si>
  <si>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</si>
  <si>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</si>
  <si>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</si>
  <si>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</si>
  <si>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</si>
  <si>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</si>
  <si>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</si>
  <si>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</si>
  <si>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</si>
  <si>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</si>
  <si>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</si>
  <si>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</si>
  <si>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</si>
  <si>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</si>
  <si>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</si>
  <si>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</si>
  <si>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</si>
  <si>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</si>
  <si>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</si>
  <si>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</si>
  <si>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</si>
  <si>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</si>
  <si>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</si>
  <si>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</si>
  <si>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</si>
  <si>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</si>
  <si>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</si>
  <si>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</si>
  <si>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ARCA NO SE PAGA HASTA RESOLVER LA SITUACION CUENTA</t>
  </si>
  <si>
    <t>Articulos de limpieza</t>
  </si>
  <si>
    <t>subidos en juli</t>
  </si>
  <si>
    <t xml:space="preserve">Sueldo Sra Monica Forment </t>
  </si>
  <si>
    <t>AYSA</t>
  </si>
  <si>
    <t>VTO: 14/11</t>
  </si>
  <si>
    <t>OCTUBRE</t>
  </si>
  <si>
    <t>Damato fumigaciones - OCTUBRE</t>
  </si>
  <si>
    <t>Egresos por gastos mes - OCTUBRE</t>
  </si>
  <si>
    <t>Citta Cerrajeria - Cierre defectuoso de puerta principal</t>
  </si>
  <si>
    <t>Destapacion AYSA - 31/10</t>
  </si>
  <si>
    <t>Julio Doartero - Arreglo cisterna - 30/10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</si>
</sst>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4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2" fillId="3" borderId="1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164" fontId="30" fillId="8" borderId="1" xfId="1" applyNumberFormat="1" applyFont="1" applyFill="1" applyBorder="1"/>
    <xf numFmtId="0" fontId="0" fillId="5" borderId="1" xfId="0" applyFill="1" applyBorder="1" applyAlignment="1">
      <alignment horizontal="right"/>
    </xf>
    <xf numFmtId="1" fontId="12" fillId="5" borderId="1" xfId="0" applyNumberFormat="1" applyFont="1" applyFill="1" applyBorder="1" applyAlignment="1">
      <alignment horizontal="center"/>
    </xf>
    <xf numFmtId="0" fontId="25" fillId="5" borderId="1" xfId="0" applyFont="1" applyFill="1" applyBorder="1"/>
    <xf numFmtId="0" fontId="25" fillId="5" borderId="6" xfId="0" applyFont="1" applyFill="1" applyBorder="1"/>
    <xf numFmtId="10" fontId="10" fillId="5" borderId="6" xfId="0" applyNumberFormat="1" applyFont="1" applyFill="1" applyBorder="1"/>
    <xf numFmtId="44" fontId="0" fillId="5" borderId="13" xfId="1" applyFont="1" applyFill="1" applyBorder="1"/>
    <xf numFmtId="164" fontId="30" fillId="5" borderId="1" xfId="1" applyNumberFormat="1" applyFont="1" applyFill="1" applyBorder="1"/>
    <xf numFmtId="164" fontId="0" fillId="5" borderId="13" xfId="1" applyNumberFormat="1" applyFont="1" applyFill="1" applyBorder="1"/>
    <xf numFmtId="44" fontId="0" fillId="5" borderId="13" xfId="0" applyNumberFormat="1" applyFill="1" applyBorder="1"/>
    <xf numFmtId="164" fontId="30" fillId="2" borderId="1" xfId="1" applyNumberFormat="1" applyFont="1" applyFill="1" applyBorder="1"/>
    <xf numFmtId="164" fontId="30" fillId="9" borderId="1" xfId="1" applyNumberFormat="1" applyFont="1" applyFill="1" applyBorder="1"/>
    <xf numFmtId="164" fontId="30" fillId="2" borderId="13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"/>
  <sheetViews>
    <sheetView topLeftCell="A67" zoomScaleNormal="100" workbookViewId="0">
      <selection activeCell="H76" sqref="H76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14"/>
      <c r="E2" s="215"/>
      <c r="F2" s="215"/>
      <c r="G2" s="215"/>
      <c r="H2" s="216"/>
    </row>
    <row r="3" spans="1:9">
      <c r="A3" s="10"/>
      <c r="D3" s="14" t="s">
        <v>6</v>
      </c>
      <c r="E3" s="190">
        <v>1153202676</v>
      </c>
      <c r="F3" s="190"/>
      <c r="G3" s="190"/>
      <c r="H3" s="191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67</v>
      </c>
      <c r="F8" s="90" t="s">
        <v>152</v>
      </c>
      <c r="G8" s="19" t="s">
        <v>151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22"/>
      <c r="B12" s="183"/>
      <c r="C12" s="183"/>
      <c r="D12" s="183"/>
      <c r="E12" s="183"/>
      <c r="F12" s="183"/>
      <c r="G12" s="183"/>
      <c r="H12" s="223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196" t="s">
        <v>128</v>
      </c>
      <c r="B14" s="196"/>
      <c r="C14" s="196"/>
      <c r="D14" s="196"/>
      <c r="E14" s="196"/>
      <c r="F14" s="196"/>
      <c r="G14" s="196"/>
      <c r="H14" s="196"/>
    </row>
    <row r="15" spans="1:9">
      <c r="A15" s="178" t="s">
        <v>149</v>
      </c>
      <c r="B15" s="141"/>
      <c r="C15" s="141"/>
      <c r="D15" s="141"/>
      <c r="E15" s="141"/>
      <c r="F15" s="141"/>
      <c r="G15" s="141"/>
      <c r="H15" s="230">
        <v>381604.3</v>
      </c>
    </row>
    <row r="16" spans="1:9">
      <c r="A16" s="178" t="s">
        <v>89</v>
      </c>
      <c r="B16" s="141"/>
      <c r="C16" s="141"/>
      <c r="D16" s="141"/>
      <c r="E16" s="141"/>
      <c r="F16" s="141"/>
      <c r="G16" s="141"/>
      <c r="H16" s="230">
        <v>-60102.67</v>
      </c>
      <c r="I16" s="7"/>
    </row>
    <row r="17" spans="1:9">
      <c r="A17" s="178" t="s">
        <v>122</v>
      </c>
      <c r="B17" s="141"/>
      <c r="C17" s="141"/>
      <c r="D17" s="141"/>
      <c r="E17" s="141"/>
      <c r="F17" s="141"/>
      <c r="G17" s="141"/>
      <c r="H17" s="230">
        <v>0.37</v>
      </c>
      <c r="I17" s="7"/>
    </row>
    <row r="18" spans="1:9">
      <c r="A18" s="178" t="s">
        <v>75</v>
      </c>
      <c r="B18" s="141"/>
      <c r="C18" s="141"/>
      <c r="D18" s="141"/>
      <c r="E18" s="141"/>
      <c r="F18" s="141"/>
      <c r="G18" s="141"/>
      <c r="H18" s="70">
        <f>SUM(H15:H17)</f>
        <v>321502</v>
      </c>
      <c r="I18" s="7"/>
    </row>
    <row r="19" spans="1:9" ht="0.75" customHeight="1">
      <c r="A19" s="218" t="s">
        <v>132</v>
      </c>
      <c r="B19" s="218"/>
      <c r="C19" s="218"/>
      <c r="D19" s="218"/>
      <c r="E19" s="218"/>
      <c r="F19" s="218"/>
      <c r="G19" s="218"/>
      <c r="H19" s="218"/>
    </row>
    <row r="20" spans="1:9" hidden="1">
      <c r="A20" s="178" t="s">
        <v>132</v>
      </c>
      <c r="B20" s="141"/>
      <c r="C20" s="141"/>
      <c r="D20" s="141"/>
      <c r="E20" s="141"/>
      <c r="F20" s="141"/>
      <c r="G20" s="141"/>
      <c r="H20" s="74"/>
    </row>
    <row r="21" spans="1:9" hidden="1">
      <c r="A21" s="178"/>
      <c r="B21" s="141"/>
      <c r="C21" s="141"/>
      <c r="D21" s="141"/>
      <c r="E21" s="141"/>
      <c r="F21" s="141"/>
      <c r="G21" s="141"/>
      <c r="H21" s="74">
        <v>0</v>
      </c>
    </row>
    <row r="22" spans="1:9" hidden="1">
      <c r="A22" s="178"/>
      <c r="B22" s="141"/>
      <c r="C22" s="141"/>
      <c r="D22" s="141"/>
      <c r="E22" s="141"/>
      <c r="F22" s="141"/>
      <c r="G22" s="141"/>
      <c r="H22" s="74">
        <v>0</v>
      </c>
    </row>
    <row r="23" spans="1:9" hidden="1">
      <c r="A23" s="178"/>
      <c r="B23" s="141"/>
      <c r="C23" s="141"/>
      <c r="D23" s="141"/>
      <c r="E23" s="141"/>
      <c r="F23" s="141"/>
      <c r="G23" s="141"/>
      <c r="H23" s="74">
        <v>0</v>
      </c>
    </row>
    <row r="24" spans="1:9" hidden="1">
      <c r="A24" s="178" t="s">
        <v>133</v>
      </c>
      <c r="B24" s="141"/>
      <c r="C24" s="141"/>
      <c r="D24" s="141"/>
      <c r="E24" s="141"/>
      <c r="F24" s="141"/>
      <c r="G24" s="141"/>
      <c r="H24" s="74"/>
    </row>
    <row r="25" spans="1:9" hidden="1">
      <c r="A25" s="178" t="s">
        <v>89</v>
      </c>
      <c r="B25" s="141"/>
      <c r="C25" s="141"/>
      <c r="D25" s="141"/>
      <c r="E25" s="141"/>
      <c r="F25" s="141"/>
      <c r="G25" s="141"/>
      <c r="H25" s="74"/>
    </row>
    <row r="26" spans="1:9" hidden="1">
      <c r="A26" s="178" t="s">
        <v>75</v>
      </c>
      <c r="B26" s="141"/>
      <c r="C26" s="141"/>
      <c r="D26" s="141"/>
      <c r="E26" s="141"/>
      <c r="F26" s="141"/>
      <c r="G26" s="141"/>
      <c r="H26" s="70">
        <f>SUM(H20:H25)</f>
        <v>0</v>
      </c>
    </row>
    <row r="27" spans="1:9">
      <c r="A27" s="217" t="s">
        <v>136</v>
      </c>
      <c r="B27" s="217"/>
      <c r="C27" s="217"/>
      <c r="D27" s="217"/>
      <c r="E27" s="217"/>
      <c r="F27" s="217"/>
      <c r="G27" s="217"/>
      <c r="H27" s="217"/>
    </row>
    <row r="28" spans="1:9">
      <c r="A28" s="141" t="s">
        <v>145</v>
      </c>
      <c r="B28" s="141"/>
      <c r="C28" s="141"/>
      <c r="D28" s="141"/>
      <c r="E28" s="141"/>
      <c r="F28" s="141"/>
      <c r="G28" s="141"/>
      <c r="H28" s="230">
        <v>32000</v>
      </c>
    </row>
    <row r="29" spans="1:9">
      <c r="A29" s="141"/>
      <c r="B29" s="141"/>
      <c r="C29" s="141"/>
      <c r="D29" s="141"/>
      <c r="E29" s="141"/>
      <c r="F29" s="141"/>
      <c r="G29" s="141"/>
      <c r="H29" s="74"/>
    </row>
    <row r="30" spans="1:9">
      <c r="A30" s="141" t="s">
        <v>75</v>
      </c>
      <c r="B30" s="141"/>
      <c r="C30" s="141"/>
      <c r="D30" s="141"/>
      <c r="E30" s="141"/>
      <c r="F30" s="141"/>
      <c r="G30" s="141"/>
      <c r="H30" s="70">
        <f>SUM(H28:H29)</f>
        <v>32000</v>
      </c>
    </row>
    <row r="31" spans="1:9" ht="14.25" customHeight="1">
      <c r="A31" s="197" t="s">
        <v>90</v>
      </c>
      <c r="B31" s="197"/>
      <c r="C31" s="197"/>
      <c r="D31" s="197"/>
      <c r="E31" s="197"/>
      <c r="F31" s="197"/>
      <c r="G31" s="197"/>
      <c r="H31" s="197"/>
    </row>
    <row r="32" spans="1:9" hidden="1">
      <c r="A32" s="178"/>
      <c r="B32" s="141"/>
      <c r="C32" s="141"/>
      <c r="D32" s="141"/>
      <c r="E32" s="141"/>
      <c r="F32" s="141"/>
      <c r="G32" s="141"/>
      <c r="H32" s="74"/>
    </row>
    <row r="33" spans="1:10">
      <c r="A33" s="178" t="s">
        <v>82</v>
      </c>
      <c r="B33" s="179"/>
      <c r="C33" s="141"/>
      <c r="D33" s="141"/>
      <c r="E33" s="141"/>
      <c r="F33" s="141"/>
      <c r="G33" s="141"/>
      <c r="H33" s="230">
        <f>1623.15+33810.99+14068.38</f>
        <v>49502.52</v>
      </c>
    </row>
    <row r="34" spans="1:10">
      <c r="A34" s="141" t="s">
        <v>146</v>
      </c>
      <c r="B34" s="141"/>
      <c r="C34" s="141"/>
      <c r="D34" s="141"/>
      <c r="E34" s="141"/>
      <c r="F34" s="141"/>
      <c r="G34" s="141"/>
      <c r="H34" s="74">
        <v>0</v>
      </c>
    </row>
    <row r="35" spans="1:10">
      <c r="A35" s="141" t="s">
        <v>74</v>
      </c>
      <c r="B35" s="141"/>
      <c r="C35" s="141"/>
      <c r="D35" s="141"/>
      <c r="E35" s="141"/>
      <c r="F35" s="141"/>
      <c r="G35" s="141"/>
      <c r="H35" s="70">
        <f>SUM(H32:H34)</f>
        <v>49502.52</v>
      </c>
    </row>
    <row r="36" spans="1:10">
      <c r="A36" s="197" t="s">
        <v>137</v>
      </c>
      <c r="B36" s="197"/>
      <c r="C36" s="197"/>
      <c r="D36" s="197"/>
      <c r="E36" s="197"/>
      <c r="F36" s="197"/>
      <c r="G36" s="197"/>
      <c r="H36" s="197"/>
    </row>
    <row r="37" spans="1:10" ht="14.25" customHeight="1">
      <c r="A37" s="141" t="s">
        <v>150</v>
      </c>
      <c r="B37" s="141"/>
      <c r="C37" s="141"/>
      <c r="D37" s="141"/>
      <c r="E37" s="141"/>
      <c r="F37" s="141"/>
      <c r="G37" s="141"/>
      <c r="H37" s="230">
        <v>2056747.63</v>
      </c>
    </row>
    <row r="38" spans="1:10">
      <c r="A38" s="180" t="s">
        <v>102</v>
      </c>
      <c r="B38" s="141"/>
      <c r="C38" s="141"/>
      <c r="D38" s="141"/>
      <c r="E38" s="141"/>
      <c r="F38" s="141"/>
      <c r="G38" s="141"/>
      <c r="H38" s="230">
        <v>56106.559999999998</v>
      </c>
    </row>
    <row r="39" spans="1:10">
      <c r="A39" s="141" t="s">
        <v>75</v>
      </c>
      <c r="B39" s="141"/>
      <c r="C39" s="141"/>
      <c r="D39" s="141"/>
      <c r="E39" s="141"/>
      <c r="F39" s="141"/>
      <c r="G39" s="141"/>
      <c r="H39" s="181">
        <f>SUM(H37:H38)</f>
        <v>2112854.19</v>
      </c>
    </row>
    <row r="40" spans="1:10">
      <c r="A40" s="196" t="s">
        <v>138</v>
      </c>
      <c r="B40" s="196"/>
      <c r="C40" s="196"/>
      <c r="D40" s="196"/>
      <c r="E40" s="196"/>
      <c r="F40" s="196"/>
      <c r="G40" s="196"/>
      <c r="H40" s="196"/>
    </row>
    <row r="41" spans="1:10">
      <c r="A41" s="81" t="s">
        <v>69</v>
      </c>
      <c r="B41" s="141"/>
      <c r="C41" s="141"/>
      <c r="D41" s="141"/>
      <c r="E41" s="141"/>
      <c r="F41" s="141"/>
      <c r="G41" s="141"/>
      <c r="H41" s="230">
        <v>77500</v>
      </c>
    </row>
    <row r="42" spans="1:10">
      <c r="A42" s="141" t="s">
        <v>70</v>
      </c>
      <c r="B42" s="141"/>
      <c r="C42" s="141"/>
      <c r="D42" s="141"/>
      <c r="E42" s="141"/>
      <c r="F42" s="141"/>
      <c r="G42" s="141"/>
      <c r="H42" s="230">
        <v>20774.91</v>
      </c>
    </row>
    <row r="43" spans="1:10">
      <c r="A43" s="141" t="s">
        <v>153</v>
      </c>
      <c r="B43" s="141"/>
      <c r="C43" s="141"/>
      <c r="D43" s="141"/>
      <c r="E43" s="141"/>
      <c r="F43" s="141"/>
      <c r="G43" s="141"/>
      <c r="H43" s="230">
        <v>65000</v>
      </c>
    </row>
    <row r="44" spans="1:10">
      <c r="A44" s="141" t="s">
        <v>156</v>
      </c>
      <c r="B44" s="141"/>
      <c r="C44" s="141"/>
      <c r="D44" s="141"/>
      <c r="E44" s="141"/>
      <c r="F44" s="141"/>
      <c r="G44" s="141"/>
      <c r="H44" s="230">
        <v>50000</v>
      </c>
    </row>
    <row r="45" spans="1:10">
      <c r="A45" s="141" t="s">
        <v>157</v>
      </c>
      <c r="B45" s="141"/>
      <c r="C45" s="141"/>
      <c r="D45" s="141"/>
      <c r="E45" s="141"/>
      <c r="F45" s="141"/>
      <c r="G45" s="141"/>
      <c r="H45" s="230">
        <v>60000</v>
      </c>
    </row>
    <row r="46" spans="1:10" ht="14.25" customHeight="1">
      <c r="A46" s="141" t="s">
        <v>155</v>
      </c>
      <c r="B46" s="141"/>
      <c r="C46" s="141"/>
      <c r="D46" s="141"/>
      <c r="E46" s="141"/>
      <c r="F46" s="141"/>
      <c r="G46" s="141"/>
      <c r="H46" s="230">
        <v>45000</v>
      </c>
    </row>
    <row r="47" spans="1:10">
      <c r="A47" s="141" t="s">
        <v>147</v>
      </c>
      <c r="B47" s="141"/>
      <c r="C47" s="141"/>
      <c r="D47" s="141"/>
      <c r="E47" s="141"/>
      <c r="F47" s="141"/>
      <c r="G47" s="141"/>
      <c r="H47" s="230">
        <v>50050</v>
      </c>
      <c r="J47" s="6"/>
    </row>
    <row r="48" spans="1:10">
      <c r="A48" s="141" t="s">
        <v>75</v>
      </c>
      <c r="B48" s="141"/>
      <c r="C48" s="141"/>
      <c r="D48" s="141"/>
      <c r="E48" s="141"/>
      <c r="F48" s="141"/>
      <c r="G48" s="141"/>
      <c r="H48" s="70">
        <f>SUM(H41:H47)</f>
        <v>368324.91000000003</v>
      </c>
    </row>
    <row r="49" spans="1:11">
      <c r="A49" s="196" t="s">
        <v>139</v>
      </c>
      <c r="B49" s="196"/>
      <c r="C49" s="196"/>
      <c r="D49" s="196"/>
      <c r="E49" s="196"/>
      <c r="F49" s="196"/>
      <c r="G49" s="196"/>
      <c r="H49" s="196"/>
    </row>
    <row r="50" spans="1:11">
      <c r="A50" s="141" t="s">
        <v>71</v>
      </c>
      <c r="B50" s="141"/>
      <c r="C50" s="141"/>
      <c r="D50" s="141"/>
      <c r="E50" s="141"/>
      <c r="F50" s="141"/>
      <c r="G50" s="141"/>
      <c r="H50" s="230">
        <v>156900</v>
      </c>
      <c r="J50" t="s">
        <v>148</v>
      </c>
    </row>
    <row r="51" spans="1:11">
      <c r="A51" s="141" t="s">
        <v>121</v>
      </c>
      <c r="B51" s="141"/>
      <c r="C51" s="141"/>
      <c r="D51" s="141"/>
      <c r="E51" s="141"/>
      <c r="F51" s="141"/>
      <c r="G51" s="141"/>
      <c r="H51" s="230">
        <v>35000</v>
      </c>
    </row>
    <row r="52" spans="1:11">
      <c r="A52" s="141"/>
      <c r="B52" s="141"/>
      <c r="C52" s="141"/>
      <c r="D52" s="141"/>
      <c r="E52" s="141"/>
      <c r="F52" s="141"/>
      <c r="G52" s="141"/>
      <c r="H52" s="74"/>
    </row>
    <row r="53" spans="1:11">
      <c r="A53" s="141" t="s">
        <v>74</v>
      </c>
      <c r="B53" s="141"/>
      <c r="C53" s="141"/>
      <c r="D53" s="141"/>
      <c r="E53" s="141"/>
      <c r="F53" s="141"/>
      <c r="G53" s="141"/>
      <c r="H53" s="181">
        <f>SUM(H50:H52)</f>
        <v>191900</v>
      </c>
      <c r="K53" s="7"/>
    </row>
    <row r="54" spans="1:11" s="6" customFormat="1">
      <c r="A54" s="198" t="s">
        <v>140</v>
      </c>
      <c r="B54" s="199"/>
      <c r="C54" s="199"/>
      <c r="D54" s="199"/>
      <c r="E54" s="199"/>
      <c r="F54" s="199"/>
      <c r="G54" s="199"/>
      <c r="H54" s="200"/>
    </row>
    <row r="55" spans="1:11" s="6" customFormat="1">
      <c r="A55" s="81" t="s">
        <v>123</v>
      </c>
      <c r="B55" s="81"/>
      <c r="C55" s="81"/>
      <c r="D55" s="81"/>
      <c r="E55" s="81"/>
      <c r="F55" s="81"/>
      <c r="G55" s="81"/>
      <c r="H55" s="230">
        <v>24990</v>
      </c>
      <c r="I55" s="60"/>
    </row>
    <row r="56" spans="1:11" s="6" customFormat="1">
      <c r="A56" s="81" t="s">
        <v>75</v>
      </c>
      <c r="B56" s="81"/>
      <c r="C56" s="81"/>
      <c r="D56" s="81"/>
      <c r="E56" s="81"/>
      <c r="F56" s="81"/>
      <c r="G56" s="81"/>
      <c r="H56" s="70">
        <f>SUM(H55)</f>
        <v>24990</v>
      </c>
    </row>
    <row r="57" spans="1:11" s="6" customFormat="1">
      <c r="A57" s="196" t="s">
        <v>141</v>
      </c>
      <c r="B57" s="196"/>
      <c r="C57" s="196"/>
      <c r="D57" s="196"/>
      <c r="E57" s="196"/>
      <c r="F57" s="196"/>
      <c r="G57" s="196"/>
      <c r="H57" s="196"/>
    </row>
    <row r="58" spans="1:11" s="6" customFormat="1">
      <c r="A58" s="81"/>
      <c r="B58" s="81"/>
      <c r="C58" s="81"/>
      <c r="D58" s="81"/>
      <c r="E58" s="81"/>
      <c r="F58" s="81"/>
      <c r="G58" s="81"/>
      <c r="H58" s="74"/>
    </row>
    <row r="59" spans="1:11" s="6" customFormat="1">
      <c r="A59" s="177"/>
      <c r="B59" s="177"/>
      <c r="C59" s="177"/>
      <c r="D59" s="177"/>
      <c r="E59" s="177"/>
      <c r="F59" s="177"/>
      <c r="G59" s="177"/>
      <c r="H59" s="176"/>
    </row>
    <row r="60" spans="1:11" s="6" customFormat="1">
      <c r="A60" s="177"/>
      <c r="B60" s="177"/>
      <c r="C60" s="177"/>
      <c r="D60" s="177"/>
      <c r="E60" s="177"/>
      <c r="F60" s="177"/>
      <c r="G60" s="177"/>
      <c r="H60" s="176">
        <v>0</v>
      </c>
    </row>
    <row r="61" spans="1:11" s="6" customFormat="1" ht="21" customHeight="1">
      <c r="A61" s="81" t="s">
        <v>76</v>
      </c>
      <c r="B61" s="81"/>
      <c r="C61" s="81"/>
      <c r="D61" s="81"/>
      <c r="E61" s="81"/>
      <c r="F61" s="81"/>
      <c r="G61" s="81"/>
      <c r="H61" s="70">
        <f>SUM(H58:H60)</f>
        <v>0</v>
      </c>
      <c r="I61" s="60"/>
    </row>
    <row r="62" spans="1:11" s="6" customFormat="1" ht="18" customHeight="1">
      <c r="A62" s="198"/>
      <c r="B62" s="199"/>
      <c r="C62" s="199"/>
      <c r="D62" s="199"/>
      <c r="E62" s="199"/>
      <c r="F62" s="199"/>
      <c r="G62" s="199"/>
      <c r="H62" s="200"/>
    </row>
    <row r="63" spans="1:11" s="6" customFormat="1" ht="23.25" hidden="1" customHeight="1">
      <c r="A63" s="82"/>
      <c r="B63" s="83"/>
      <c r="C63" s="83"/>
      <c r="D63" s="83"/>
      <c r="E63" s="83"/>
      <c r="F63" s="83"/>
      <c r="G63" s="83"/>
      <c r="H63" s="160">
        <v>0</v>
      </c>
    </row>
    <row r="64" spans="1:11" s="6" customFormat="1" ht="20.25" hidden="1" customHeight="1">
      <c r="A64" s="161"/>
      <c r="B64" s="162"/>
      <c r="C64" s="162"/>
      <c r="D64" s="162"/>
      <c r="E64" s="162"/>
      <c r="F64" s="162"/>
      <c r="G64" s="162"/>
      <c r="H64" s="163">
        <v>0</v>
      </c>
    </row>
    <row r="65" spans="1:11" s="6" customFormat="1" ht="18" hidden="1" customHeight="1">
      <c r="A65" s="164"/>
      <c r="B65" s="165"/>
      <c r="C65" s="165"/>
      <c r="D65" s="165"/>
      <c r="E65" s="165"/>
      <c r="F65" s="165"/>
      <c r="G65" s="165"/>
      <c r="H65" s="160">
        <f>H63+H64</f>
        <v>0</v>
      </c>
    </row>
    <row r="66" spans="1:11" s="6" customFormat="1" ht="18" hidden="1" customHeight="1">
      <c r="A66" s="209" t="s">
        <v>84</v>
      </c>
      <c r="B66" s="210"/>
      <c r="C66" s="210"/>
      <c r="D66" s="210"/>
      <c r="E66" s="210"/>
      <c r="F66" s="210"/>
      <c r="G66" s="210"/>
      <c r="H66" s="166">
        <f>H61</f>
        <v>0</v>
      </c>
    </row>
    <row r="67" spans="1:11" s="6" customFormat="1" ht="18" customHeight="1">
      <c r="A67" s="212"/>
      <c r="B67" s="212"/>
      <c r="C67" s="212"/>
      <c r="D67" s="212"/>
      <c r="E67" s="212"/>
      <c r="F67" s="212"/>
      <c r="G67" s="212"/>
      <c r="H67" s="212"/>
    </row>
    <row r="68" spans="1:11" s="6" customFormat="1" ht="86.25" hidden="1" customHeight="1">
      <c r="A68" s="213"/>
      <c r="B68" s="213"/>
      <c r="C68" s="213"/>
      <c r="D68" s="213"/>
      <c r="E68" s="213"/>
      <c r="F68" s="213"/>
      <c r="G68" s="213"/>
      <c r="H68" s="213"/>
    </row>
    <row r="69" spans="1:11" s="6" customFormat="1" ht="18" customHeight="1">
      <c r="A69" s="211" t="s">
        <v>86</v>
      </c>
      <c r="B69" s="211"/>
      <c r="C69" s="211"/>
      <c r="D69" s="211"/>
      <c r="E69" s="211"/>
      <c r="F69" s="211"/>
      <c r="G69" s="211"/>
      <c r="H69" s="167"/>
    </row>
    <row r="70" spans="1:11" s="6" customFormat="1" ht="26.25" customHeight="1">
      <c r="A70" s="219"/>
      <c r="B70" s="220"/>
      <c r="C70" s="220"/>
      <c r="D70" s="220"/>
      <c r="E70" s="220"/>
      <c r="F70" s="220"/>
      <c r="G70" s="221"/>
      <c r="H70" s="74"/>
    </row>
    <row r="71" spans="1:11" s="6" customFormat="1" ht="18" customHeight="1">
      <c r="A71" s="131" t="s">
        <v>75</v>
      </c>
      <c r="B71" s="81"/>
      <c r="C71" s="81"/>
      <c r="D71" s="81"/>
      <c r="E71" s="81"/>
      <c r="F71" s="81"/>
      <c r="G71" s="81"/>
      <c r="H71" s="70">
        <f>SUM(H70:H70)</f>
        <v>0</v>
      </c>
    </row>
    <row r="72" spans="1:11" s="6" customFormat="1" ht="18" customHeight="1" thickBot="1">
      <c r="A72" s="132"/>
      <c r="B72" s="132"/>
      <c r="C72" s="132"/>
      <c r="D72" s="132"/>
      <c r="E72" s="132"/>
      <c r="F72" s="132"/>
      <c r="G72" s="132"/>
      <c r="H72" s="133"/>
    </row>
    <row r="73" spans="1:11" s="6" customFormat="1" ht="18" customHeight="1" thickBot="1">
      <c r="A73" s="192" t="s">
        <v>85</v>
      </c>
      <c r="B73" s="193"/>
      <c r="C73" s="193"/>
      <c r="D73" s="193"/>
      <c r="E73" s="193"/>
      <c r="F73" s="193"/>
      <c r="G73" s="193"/>
      <c r="H73" s="134">
        <f>H71</f>
        <v>0</v>
      </c>
    </row>
    <row r="74" spans="1:11" s="6" customFormat="1" ht="18" customHeight="1" thickBot="1">
      <c r="A74" s="204" t="s">
        <v>91</v>
      </c>
      <c r="B74" s="205"/>
      <c r="C74" s="205"/>
      <c r="D74" s="205"/>
      <c r="E74" s="205"/>
      <c r="F74" s="205"/>
      <c r="G74" s="206"/>
      <c r="H74" s="134"/>
    </row>
    <row r="75" spans="1:11" s="6" customFormat="1" ht="18" customHeight="1" thickBot="1">
      <c r="A75" s="204" t="s">
        <v>96</v>
      </c>
      <c r="B75" s="205"/>
      <c r="C75" s="205"/>
      <c r="D75" s="205"/>
      <c r="E75" s="205"/>
      <c r="F75" s="205"/>
      <c r="G75" s="206"/>
      <c r="H75" s="134"/>
    </row>
    <row r="76" spans="1:11" ht="18.75">
      <c r="A76" s="192" t="s">
        <v>92</v>
      </c>
      <c r="B76" s="193"/>
      <c r="C76" s="193"/>
      <c r="D76" s="193"/>
      <c r="E76" s="193"/>
      <c r="F76" s="193"/>
      <c r="G76" s="193"/>
      <c r="H76" s="134">
        <f>H30+H39+H48+H53+H56+H35+H18+H26</f>
        <v>3101073.62</v>
      </c>
      <c r="J76" s="175"/>
      <c r="K76" s="146"/>
    </row>
    <row r="77" spans="1:11" ht="18.75">
      <c r="A77" s="201" t="s">
        <v>126</v>
      </c>
      <c r="B77" s="202"/>
      <c r="C77" s="202"/>
      <c r="D77" s="202"/>
      <c r="E77" s="202"/>
      <c r="F77" s="202"/>
      <c r="G77" s="203"/>
      <c r="H77" s="135">
        <f>H74+H76</f>
        <v>3101073.62</v>
      </c>
      <c r="I77" s="130"/>
      <c r="J77" s="182"/>
      <c r="K77" s="182"/>
    </row>
    <row r="78" spans="1:11" ht="18.75">
      <c r="A78" s="201" t="s">
        <v>97</v>
      </c>
      <c r="B78" s="202"/>
      <c r="C78" s="202"/>
      <c r="D78" s="202"/>
      <c r="E78" s="202"/>
      <c r="F78" s="202"/>
      <c r="G78" s="203"/>
      <c r="H78" s="136">
        <f>H75+H73</f>
        <v>0</v>
      </c>
      <c r="J78" s="146"/>
    </row>
    <row r="79" spans="1:11" ht="20.25" customHeight="1" thickBot="1">
      <c r="A79" s="207" t="s">
        <v>87</v>
      </c>
      <c r="B79" s="208"/>
      <c r="C79" s="208"/>
      <c r="D79" s="208"/>
      <c r="E79" s="208"/>
      <c r="F79" s="208"/>
      <c r="G79" s="208"/>
      <c r="H79" s="137">
        <f>H76+H73</f>
        <v>3101073.62</v>
      </c>
      <c r="J79" s="7"/>
    </row>
    <row r="80" spans="1:11" ht="18.75" hidden="1">
      <c r="A80" s="194" t="s">
        <v>17</v>
      </c>
      <c r="B80" s="195"/>
      <c r="C80" s="195"/>
      <c r="D80" s="195"/>
      <c r="E80" s="195"/>
      <c r="F80" s="195"/>
      <c r="G80" s="195"/>
      <c r="H80" s="138">
        <f>H65</f>
        <v>0</v>
      </c>
      <c r="J80" s="7"/>
    </row>
    <row r="81" spans="1:11" ht="18.75" hidden="1">
      <c r="A81" s="139"/>
      <c r="B81" s="139"/>
      <c r="C81" s="139"/>
      <c r="D81" s="139"/>
      <c r="E81" s="139"/>
      <c r="F81" s="139"/>
      <c r="G81" s="139"/>
      <c r="H81" s="140"/>
      <c r="J81" s="7"/>
    </row>
    <row r="82" spans="1:11" ht="18.75" hidden="1">
      <c r="A82" s="139"/>
      <c r="B82" s="139"/>
      <c r="C82" s="139"/>
      <c r="D82" s="139"/>
      <c r="E82" s="139"/>
      <c r="F82" s="139"/>
      <c r="G82" s="139"/>
      <c r="H82" s="140"/>
      <c r="J82" s="7"/>
    </row>
    <row r="83" spans="1:11" ht="18.75" hidden="1">
      <c r="A83" s="139"/>
      <c r="B83" s="139"/>
      <c r="C83" s="139"/>
      <c r="D83" s="139"/>
      <c r="E83" s="139"/>
      <c r="F83" s="139"/>
      <c r="G83" s="139"/>
      <c r="H83" s="140"/>
      <c r="J83" s="7"/>
    </row>
    <row r="84" spans="1:11" ht="14.25" customHeight="1">
      <c r="A84" s="141"/>
      <c r="B84" s="141"/>
      <c r="C84" s="141"/>
      <c r="D84" s="141"/>
      <c r="E84" s="141"/>
      <c r="F84" s="141"/>
      <c r="G84" s="141"/>
      <c r="H84" s="141"/>
    </row>
    <row r="85" spans="1:11" ht="18.75">
      <c r="A85" s="187" t="s">
        <v>10</v>
      </c>
      <c r="B85" s="188"/>
      <c r="C85" s="188"/>
      <c r="D85" s="188"/>
      <c r="E85" s="188"/>
      <c r="F85" s="188"/>
      <c r="G85" s="188"/>
      <c r="H85" s="189"/>
    </row>
    <row r="86" spans="1:11" ht="18.75">
      <c r="A86" s="142" t="s">
        <v>12</v>
      </c>
      <c r="B86" s="143"/>
      <c r="C86" s="143"/>
      <c r="D86" s="143"/>
      <c r="E86" s="143"/>
      <c r="F86" s="143"/>
      <c r="G86" s="143"/>
      <c r="H86" s="144">
        <v>4403223.2156698657</v>
      </c>
    </row>
    <row r="87" spans="1:11">
      <c r="A87" s="82" t="s">
        <v>135</v>
      </c>
      <c r="B87" s="83"/>
      <c r="C87" s="83"/>
      <c r="D87" s="83"/>
      <c r="E87" s="83"/>
      <c r="F87" s="83"/>
      <c r="G87" s="83"/>
      <c r="H87" s="145">
        <f>Planilla!G32</f>
        <v>2657237.8350200001</v>
      </c>
    </row>
    <row r="88" spans="1:11">
      <c r="A88" s="79" t="s">
        <v>154</v>
      </c>
      <c r="B88" s="80"/>
      <c r="C88" s="80"/>
      <c r="D88" s="80"/>
      <c r="E88" s="80"/>
      <c r="F88" s="80"/>
      <c r="G88" s="80"/>
      <c r="H88" s="69">
        <f>-(H79)</f>
        <v>-3101073.62</v>
      </c>
    </row>
    <row r="89" spans="1:11">
      <c r="A89" s="79" t="s">
        <v>88</v>
      </c>
      <c r="B89" s="80"/>
      <c r="C89" s="80"/>
      <c r="D89" s="80"/>
      <c r="E89" s="80"/>
      <c r="F89" s="80"/>
      <c r="G89" s="80"/>
      <c r="H89" s="69">
        <f>-H66</f>
        <v>0</v>
      </c>
      <c r="K89" s="6"/>
    </row>
    <row r="90" spans="1:11">
      <c r="A90" s="79" t="s">
        <v>73</v>
      </c>
      <c r="B90" s="80" t="s">
        <v>118</v>
      </c>
      <c r="C90" s="80"/>
      <c r="D90" s="80"/>
      <c r="E90" s="80"/>
      <c r="F90" s="80"/>
      <c r="G90" s="80"/>
      <c r="H90" s="125">
        <v>133680</v>
      </c>
    </row>
    <row r="91" spans="1:11">
      <c r="A91" s="79" t="s">
        <v>72</v>
      </c>
      <c r="B91" s="80"/>
      <c r="C91" s="80"/>
      <c r="D91" s="80"/>
      <c r="E91" s="80"/>
      <c r="F91" s="80"/>
      <c r="G91" s="80"/>
      <c r="H91" s="125">
        <f>177000-H90</f>
        <v>43320</v>
      </c>
      <c r="I91" s="146"/>
    </row>
    <row r="92" spans="1:11">
      <c r="A92" s="12" t="s">
        <v>124</v>
      </c>
      <c r="B92" s="84"/>
      <c r="C92" s="4"/>
      <c r="D92" s="4"/>
      <c r="E92" s="4"/>
      <c r="F92" s="4"/>
      <c r="G92" s="4"/>
      <c r="H92" s="99"/>
    </row>
    <row r="93" spans="1:11" ht="18.75">
      <c r="A93" s="22" t="s">
        <v>11</v>
      </c>
      <c r="B93" s="23"/>
      <c r="C93" s="23"/>
      <c r="D93" s="23"/>
      <c r="E93" s="23"/>
      <c r="F93" s="23"/>
      <c r="G93" s="23"/>
      <c r="H93" s="85">
        <f>SUM(H86:H92)</f>
        <v>4136387.4306898657</v>
      </c>
    </row>
    <row r="94" spans="1:11" ht="15.75" thickBot="1"/>
    <row r="95" spans="1:11" ht="16.5" thickBot="1">
      <c r="A95" s="184" t="s">
        <v>101</v>
      </c>
      <c r="B95" s="185"/>
      <c r="C95" s="185"/>
      <c r="D95" s="185"/>
      <c r="E95" s="185"/>
      <c r="F95" s="185"/>
      <c r="G95" s="185"/>
      <c r="H95" s="186"/>
    </row>
    <row r="96" spans="1:11" ht="15.75">
      <c r="A96" s="88" t="s">
        <v>12</v>
      </c>
      <c r="B96" s="88"/>
      <c r="C96" s="88"/>
      <c r="D96" s="88"/>
      <c r="E96" s="88"/>
      <c r="F96" s="88"/>
      <c r="G96" s="88"/>
      <c r="H96" s="89">
        <v>0</v>
      </c>
    </row>
    <row r="97" spans="1:8">
      <c r="A97" s="61" t="s">
        <v>125</v>
      </c>
      <c r="B97" s="92"/>
      <c r="C97" s="4"/>
      <c r="D97" s="61"/>
      <c r="E97" s="61"/>
      <c r="F97" s="61"/>
      <c r="G97" s="61"/>
      <c r="H97" s="129"/>
    </row>
    <row r="98" spans="1:8">
      <c r="A98" s="61"/>
      <c r="B98" s="98"/>
      <c r="C98" s="61"/>
      <c r="D98" s="61"/>
      <c r="E98" s="61"/>
      <c r="F98" s="61"/>
      <c r="G98" s="61"/>
      <c r="H98" s="21"/>
    </row>
    <row r="99" spans="1:8">
      <c r="A99" s="61"/>
      <c r="B99" s="61"/>
      <c r="C99" s="61"/>
      <c r="D99" s="61"/>
      <c r="E99" s="61"/>
      <c r="F99" s="61"/>
      <c r="G99" s="61"/>
      <c r="H99" s="21"/>
    </row>
    <row r="100" spans="1:8">
      <c r="A100" s="86" t="s">
        <v>11</v>
      </c>
      <c r="B100" s="86"/>
      <c r="C100" s="86"/>
      <c r="D100" s="86"/>
      <c r="E100" s="86"/>
      <c r="F100" s="86"/>
      <c r="G100" s="86"/>
      <c r="H100" s="87">
        <f>SUM(H96:H99)</f>
        <v>0</v>
      </c>
    </row>
    <row r="103" spans="1:8" hidden="1">
      <c r="A103" s="183"/>
      <c r="B103" s="183"/>
      <c r="C103" s="183"/>
      <c r="D103" s="183"/>
      <c r="E103" s="183"/>
      <c r="F103" s="183"/>
      <c r="G103" s="183"/>
      <c r="H103" s="183"/>
    </row>
    <row r="104" spans="1:8" hidden="1">
      <c r="A104" s="183"/>
      <c r="B104" s="183"/>
      <c r="C104" s="183"/>
      <c r="D104" s="183"/>
      <c r="E104" s="183"/>
      <c r="F104" s="183"/>
      <c r="G104" s="183"/>
      <c r="H104" s="183"/>
    </row>
    <row r="105" spans="1:8" hidden="1">
      <c r="A105" s="183"/>
      <c r="B105" s="183"/>
      <c r="C105" s="183"/>
      <c r="D105" s="183"/>
      <c r="E105" s="183"/>
      <c r="F105" s="183"/>
      <c r="G105" s="183"/>
      <c r="H105" s="183"/>
    </row>
    <row r="106" spans="1:8" hidden="1">
      <c r="A106" s="183"/>
      <c r="B106" s="183"/>
      <c r="C106" s="183"/>
      <c r="D106" s="183"/>
      <c r="E106" s="183"/>
      <c r="F106" s="183"/>
      <c r="G106" s="183"/>
      <c r="H106" s="183"/>
    </row>
  </sheetData>
  <mergeCells count="29">
    <mergeCell ref="D2:H2"/>
    <mergeCell ref="A31:H31"/>
    <mergeCell ref="A75:G75"/>
    <mergeCell ref="A27:H27"/>
    <mergeCell ref="A19:H19"/>
    <mergeCell ref="A70:G70"/>
    <mergeCell ref="A12:H12"/>
    <mergeCell ref="A77:G77"/>
    <mergeCell ref="A79:G79"/>
    <mergeCell ref="A66:G66"/>
    <mergeCell ref="A73:G73"/>
    <mergeCell ref="A69:G69"/>
    <mergeCell ref="A67:H68"/>
    <mergeCell ref="J77:K77"/>
    <mergeCell ref="A103:H106"/>
    <mergeCell ref="A95:H95"/>
    <mergeCell ref="A85:H85"/>
    <mergeCell ref="E3:H3"/>
    <mergeCell ref="A76:G76"/>
    <mergeCell ref="A80:G80"/>
    <mergeCell ref="A14:H14"/>
    <mergeCell ref="A36:H36"/>
    <mergeCell ref="A40:H40"/>
    <mergeCell ref="A49:H49"/>
    <mergeCell ref="A54:H54"/>
    <mergeCell ref="A57:H57"/>
    <mergeCell ref="A62:H62"/>
    <mergeCell ref="A78:G78"/>
    <mergeCell ref="A74:G74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Normal="100" workbookViewId="0">
      <selection activeCell="C3" sqref="C3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OCTUBRE</v>
      </c>
      <c r="G1" s="107"/>
      <c r="H1" s="105" t="str">
        <f>RESUMEN!G8</f>
        <v>VTO: 14/11</v>
      </c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3130261.15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/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225">
        <f>C3</f>
        <v>3130261.15</v>
      </c>
      <c r="C5" s="225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225"/>
      <c r="C7" s="225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3">
        <v>1</v>
      </c>
      <c r="B9" s="169" t="s">
        <v>40</v>
      </c>
      <c r="C9" s="170" t="s">
        <v>19</v>
      </c>
      <c r="D9" s="170" t="s">
        <v>106</v>
      </c>
      <c r="E9" s="171">
        <v>4.0500000000000001E-2</v>
      </c>
      <c r="F9" s="99">
        <v>593165.56411332928</v>
      </c>
      <c r="G9" s="243"/>
      <c r="H9" s="68">
        <f>IF(F9&gt;G9,F9-G9,0)</f>
        <v>593165.56411332928</v>
      </c>
      <c r="I9" s="68">
        <f>H9*3.7%</f>
        <v>21947.125872193188</v>
      </c>
      <c r="J9" s="68">
        <f>IF(G9&gt;F9,G9-F9,0)</f>
        <v>0</v>
      </c>
      <c r="K9" s="68">
        <f>F$4*E9</f>
        <v>0</v>
      </c>
      <c r="L9" s="172">
        <f>B$5*E9</f>
        <v>126775.576575</v>
      </c>
      <c r="M9" s="172">
        <f>B$7*E9</f>
        <v>0</v>
      </c>
      <c r="N9" s="172">
        <f>H9+I9-J9+K9+L9+M9</f>
        <v>741888.26656052237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209002.56011999998</v>
      </c>
      <c r="G10" s="241">
        <f>F10</f>
        <v>209002.56011999998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202840.92251999999</v>
      </c>
      <c r="M10" s="25">
        <f t="shared" ref="M10:M31" si="4">B$7*E10</f>
        <v>0</v>
      </c>
      <c r="N10" s="25">
        <f t="shared" ref="N10:N31" si="5">H10+I10-J10+K10+L10+M10</f>
        <v>202840.92251999999</v>
      </c>
    </row>
    <row r="11" spans="1:14" ht="15" customHeight="1">
      <c r="A11" s="168">
        <v>3</v>
      </c>
      <c r="B11" s="169" t="s">
        <v>42</v>
      </c>
      <c r="C11" s="170" t="s">
        <v>21</v>
      </c>
      <c r="D11" s="170" t="s">
        <v>108</v>
      </c>
      <c r="E11" s="171">
        <v>4.82E-2</v>
      </c>
      <c r="F11" s="99">
        <v>155423.56165999995</v>
      </c>
      <c r="G11" s="241">
        <v>155430</v>
      </c>
      <c r="H11" s="68">
        <f t="shared" si="0"/>
        <v>0</v>
      </c>
      <c r="I11" s="68">
        <f t="shared" ref="I11:I31" si="6">H11*3.7%</f>
        <v>0</v>
      </c>
      <c r="J11" s="68">
        <f t="shared" si="1"/>
        <v>6.4383400000515394</v>
      </c>
      <c r="K11" s="68">
        <f t="shared" si="2"/>
        <v>0</v>
      </c>
      <c r="L11" s="172">
        <f t="shared" si="3"/>
        <v>150878.58742999999</v>
      </c>
      <c r="M11" s="172">
        <f t="shared" si="4"/>
        <v>0</v>
      </c>
      <c r="N11" s="172">
        <f>H11+I11-J11+K11+L11+M11+E7</f>
        <v>150872.14908999993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2604576.1956058415</v>
      </c>
      <c r="G12" s="231"/>
      <c r="H12" s="152">
        <f t="shared" si="0"/>
        <v>2604576.1956058415</v>
      </c>
      <c r="I12" s="152">
        <f t="shared" si="6"/>
        <v>96369.319237416144</v>
      </c>
      <c r="J12" s="152">
        <f t="shared" si="1"/>
        <v>0</v>
      </c>
      <c r="K12" s="152">
        <f t="shared" si="2"/>
        <v>0</v>
      </c>
      <c r="L12" s="153">
        <f t="shared" si="3"/>
        <v>167468.971525</v>
      </c>
      <c r="M12" s="153">
        <f t="shared" si="4"/>
        <v>0</v>
      </c>
      <c r="N12" s="153">
        <f t="shared" si="5"/>
        <v>2868414.4863682576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124175.90377499998</v>
      </c>
      <c r="G13" s="241">
        <f>F13</f>
        <v>124175.90377499998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0</v>
      </c>
      <c r="L13" s="25">
        <f t="shared" si="3"/>
        <v>120515.05427499999</v>
      </c>
      <c r="M13" s="25">
        <f t="shared" si="4"/>
        <v>0</v>
      </c>
      <c r="N13" s="25">
        <f t="shared" si="5"/>
        <v>120515.05427499999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115789.99858500001</v>
      </c>
      <c r="G14" s="241">
        <f>F14</f>
        <v>115789.99858500001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112376.375285</v>
      </c>
      <c r="M14" s="25">
        <f t="shared" si="4"/>
        <v>0</v>
      </c>
      <c r="N14" s="25">
        <f t="shared" si="5"/>
        <v>112376.375285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271999.41511616996</v>
      </c>
      <c r="G15" s="241"/>
      <c r="H15" s="24">
        <f t="shared" si="0"/>
        <v>271999.41511616996</v>
      </c>
      <c r="I15" s="24">
        <f t="shared" si="6"/>
        <v>10063.978359298289</v>
      </c>
      <c r="J15" s="24">
        <f t="shared" si="1"/>
        <v>0</v>
      </c>
      <c r="K15" s="24">
        <f t="shared" si="2"/>
        <v>0</v>
      </c>
      <c r="L15" s="25">
        <f t="shared" si="3"/>
        <v>129592.81160999999</v>
      </c>
      <c r="M15" s="25">
        <f t="shared" si="4"/>
        <v>0</v>
      </c>
      <c r="N15" s="25">
        <f t="shared" si="5"/>
        <v>411656.20508546825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172556.12602500001</v>
      </c>
      <c r="G16" s="241">
        <f>F16</f>
        <v>172556.12602500001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167468.971525</v>
      </c>
      <c r="M16" s="25">
        <f t="shared" si="4"/>
        <v>0</v>
      </c>
      <c r="N16" s="25">
        <f t="shared" si="5"/>
        <v>167468.971525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124175.90377499998</v>
      </c>
      <c r="G17" s="241">
        <f>F17+24</f>
        <v>124199.90377499998</v>
      </c>
      <c r="H17" s="24">
        <f t="shared" si="0"/>
        <v>0</v>
      </c>
      <c r="I17" s="24">
        <f t="shared" si="6"/>
        <v>0</v>
      </c>
      <c r="J17" s="24">
        <f t="shared" si="1"/>
        <v>24</v>
      </c>
      <c r="K17" s="24">
        <f t="shared" si="2"/>
        <v>0</v>
      </c>
      <c r="L17" s="25">
        <f t="shared" si="3"/>
        <v>120515.05427499999</v>
      </c>
      <c r="M17" s="25">
        <f t="shared" si="4"/>
        <v>0</v>
      </c>
      <c r="N17" s="25">
        <f t="shared" si="5"/>
        <v>120491.05427499999</v>
      </c>
    </row>
    <row r="18" spans="1:15" ht="15" customHeight="1">
      <c r="A18" s="232">
        <v>10</v>
      </c>
      <c r="B18" s="233" t="s">
        <v>49</v>
      </c>
      <c r="C18" s="234" t="s">
        <v>27</v>
      </c>
      <c r="D18" s="235"/>
      <c r="E18" s="236">
        <v>3.5900000000000001E-2</v>
      </c>
      <c r="F18" s="237">
        <v>514182.91629160853</v>
      </c>
      <c r="G18" s="238">
        <f>RESUMEN!H51+RESUMEN!H43+RESUMEN!H41</f>
        <v>177500</v>
      </c>
      <c r="H18" s="239">
        <f>IF(F18&gt;G18,F18-G18,0)</f>
        <v>336682.91629160853</v>
      </c>
      <c r="I18" s="239">
        <f t="shared" si="6"/>
        <v>12457.267902789517</v>
      </c>
      <c r="J18" s="239">
        <f t="shared" si="1"/>
        <v>0</v>
      </c>
      <c r="K18" s="239">
        <f t="shared" si="2"/>
        <v>0</v>
      </c>
      <c r="L18" s="240">
        <f t="shared" si="3"/>
        <v>112376.375285</v>
      </c>
      <c r="M18" s="240">
        <f t="shared" si="4"/>
        <v>0</v>
      </c>
      <c r="N18" s="240">
        <f t="shared" si="5"/>
        <v>461516.55947939807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1744190.8615374537</v>
      </c>
      <c r="G19" s="231"/>
      <c r="H19" s="152">
        <f t="shared" si="0"/>
        <v>1744190.8615374537</v>
      </c>
      <c r="I19" s="152">
        <f t="shared" si="6"/>
        <v>64535.061876885797</v>
      </c>
      <c r="J19" s="152">
        <f t="shared" si="1"/>
        <v>0</v>
      </c>
      <c r="K19" s="152">
        <f t="shared" si="2"/>
        <v>0</v>
      </c>
      <c r="L19" s="153">
        <f t="shared" si="3"/>
        <v>129592.81160999999</v>
      </c>
      <c r="M19" s="153">
        <f t="shared" si="4"/>
        <v>0</v>
      </c>
      <c r="N19" s="153">
        <f t="shared" si="5"/>
        <v>1938318.7350243395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172556.12602500001</v>
      </c>
      <c r="G20" s="241">
        <f>172600</f>
        <v>172600</v>
      </c>
      <c r="H20" s="24">
        <f t="shared" si="0"/>
        <v>0</v>
      </c>
      <c r="I20" s="24">
        <f t="shared" si="6"/>
        <v>0</v>
      </c>
      <c r="J20" s="24">
        <f t="shared" si="1"/>
        <v>43.873974999994971</v>
      </c>
      <c r="K20" s="24">
        <f t="shared" si="2"/>
        <v>0</v>
      </c>
      <c r="L20" s="25">
        <f t="shared" si="3"/>
        <v>167468.971525</v>
      </c>
      <c r="M20" s="25">
        <f t="shared" si="4"/>
        <v>0</v>
      </c>
      <c r="N20" s="25">
        <f t="shared" si="5"/>
        <v>167425.09755000001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970537.78993118776</v>
      </c>
      <c r="G21" s="242">
        <v>241030</v>
      </c>
      <c r="H21" s="152">
        <f t="shared" si="0"/>
        <v>729507.78993118776</v>
      </c>
      <c r="I21" s="152">
        <f t="shared" si="6"/>
        <v>26991.788227453952</v>
      </c>
      <c r="J21" s="152">
        <f t="shared" si="1"/>
        <v>0</v>
      </c>
      <c r="K21" s="152">
        <f t="shared" si="2"/>
        <v>0</v>
      </c>
      <c r="L21" s="153">
        <f t="shared" si="3"/>
        <v>120515.05427499999</v>
      </c>
      <c r="M21" s="153">
        <f t="shared" si="4"/>
        <v>0</v>
      </c>
      <c r="N21" s="153">
        <f t="shared" si="5"/>
        <v>877014.6324336417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115789.99858500001</v>
      </c>
      <c r="G22" s="241">
        <f>F22</f>
        <v>115789.99858500001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112376.375285</v>
      </c>
      <c r="M22" s="25">
        <f t="shared" si="4"/>
        <v>0</v>
      </c>
      <c r="N22" s="25">
        <f t="shared" si="5"/>
        <v>112376.375285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133529.41340999998</v>
      </c>
      <c r="G23" s="241">
        <v>129592</v>
      </c>
      <c r="H23" s="24">
        <f t="shared" si="0"/>
        <v>3937.4134099999792</v>
      </c>
      <c r="I23" s="24">
        <f t="shared" si="6"/>
        <v>145.68429616999924</v>
      </c>
      <c r="J23" s="24">
        <f t="shared" si="1"/>
        <v>0</v>
      </c>
      <c r="K23" s="24">
        <f t="shared" si="2"/>
        <v>0</v>
      </c>
      <c r="L23" s="25">
        <f t="shared" si="3"/>
        <v>129592.81160999999</v>
      </c>
      <c r="M23" s="25">
        <f t="shared" si="4"/>
        <v>0</v>
      </c>
      <c r="N23" s="25">
        <f t="shared" si="5"/>
        <v>133675.90931616997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172556.12602500001</v>
      </c>
      <c r="G24" s="241">
        <f>F24</f>
        <v>172556.12602500001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167468.971525</v>
      </c>
      <c r="M24" s="25">
        <f t="shared" si="4"/>
        <v>0</v>
      </c>
      <c r="N24" s="25">
        <f t="shared" si="5"/>
        <v>167468.971525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124175.90377499998</v>
      </c>
      <c r="G25" s="241">
        <f>F25</f>
        <v>124175.90377499998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120515.05427499999</v>
      </c>
      <c r="M25" s="25">
        <f t="shared" si="4"/>
        <v>0</v>
      </c>
      <c r="N25" s="25">
        <f t="shared" si="5"/>
        <v>120515.05427499999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115789.99858500001</v>
      </c>
      <c r="G26" s="241">
        <f>F26</f>
        <v>115789.99858500001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112376.375285</v>
      </c>
      <c r="M26" s="25">
        <f t="shared" si="4"/>
        <v>0</v>
      </c>
      <c r="N26" s="25">
        <f t="shared" si="5"/>
        <v>112376.375285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2688223.6303953365</v>
      </c>
      <c r="G27" s="231">
        <v>133530</v>
      </c>
      <c r="H27" s="174">
        <f t="shared" si="0"/>
        <v>2554693.6303953365</v>
      </c>
      <c r="I27" s="152">
        <f t="shared" si="6"/>
        <v>94523.664324627462</v>
      </c>
      <c r="J27" s="152">
        <f t="shared" si="1"/>
        <v>0</v>
      </c>
      <c r="K27" s="152">
        <f t="shared" si="2"/>
        <v>0</v>
      </c>
      <c r="L27" s="153">
        <f t="shared" si="3"/>
        <v>129592.81160999999</v>
      </c>
      <c r="M27" s="153">
        <f t="shared" si="4"/>
        <v>0</v>
      </c>
      <c r="N27" s="153">
        <f t="shared" si="5"/>
        <v>2778810.106329964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781282.18712432007</v>
      </c>
      <c r="G28" s="241"/>
      <c r="H28" s="68">
        <f t="shared" si="0"/>
        <v>781282.18712432007</v>
      </c>
      <c r="I28" s="24">
        <f t="shared" si="6"/>
        <v>28907.440923599846</v>
      </c>
      <c r="J28" s="24">
        <f t="shared" si="1"/>
        <v>0</v>
      </c>
      <c r="K28" s="24"/>
      <c r="L28" s="25">
        <f t="shared" si="3"/>
        <v>167468.971525</v>
      </c>
      <c r="M28" s="25">
        <f t="shared" si="4"/>
        <v>0</v>
      </c>
      <c r="N28" s="25">
        <f t="shared" si="5"/>
        <v>977658.59957292001</v>
      </c>
      <c r="O28" s="7"/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124175.90377499998</v>
      </c>
      <c r="G29" s="241">
        <f>F29+24</f>
        <v>124199.90377499998</v>
      </c>
      <c r="H29" s="24">
        <f t="shared" si="0"/>
        <v>0</v>
      </c>
      <c r="I29" s="24">
        <f t="shared" si="6"/>
        <v>0</v>
      </c>
      <c r="J29" s="24">
        <f t="shared" si="1"/>
        <v>24</v>
      </c>
      <c r="K29" s="24">
        <f t="shared" si="2"/>
        <v>0</v>
      </c>
      <c r="L29" s="25">
        <f t="shared" si="3"/>
        <v>120515.05427499999</v>
      </c>
      <c r="M29" s="25">
        <f t="shared" si="4"/>
        <v>0</v>
      </c>
      <c r="N29" s="25">
        <f t="shared" si="5"/>
        <v>120491.05427499999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115789.99858500001</v>
      </c>
      <c r="G30" s="241">
        <f>F30</f>
        <v>115789.99858500001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112376.375285</v>
      </c>
      <c r="M30" s="25">
        <f t="shared" si="4"/>
        <v>0</v>
      </c>
      <c r="N30" s="25">
        <f t="shared" si="5"/>
        <v>112376.375285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133529.41340999998</v>
      </c>
      <c r="G31" s="241">
        <f>F31</f>
        <v>133529.41340999998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129592.81160999999</v>
      </c>
      <c r="M31" s="25">
        <f t="shared" si="4"/>
        <v>0</v>
      </c>
      <c r="N31" s="25">
        <f t="shared" si="5"/>
        <v>129592.81160999999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12277175.496230245</v>
      </c>
      <c r="G32" s="100">
        <f>SUM(G9:G31)</f>
        <v>2657237.8350200001</v>
      </c>
      <c r="H32" s="126">
        <f>SUM(H9:H31)</f>
        <v>9620035.9735252466</v>
      </c>
      <c r="I32" s="54">
        <f>SUM(I9:I31)</f>
        <v>355941.33102043415</v>
      </c>
      <c r="J32" s="100">
        <f t="shared" ref="J32" si="7">SUM(J9:J31)</f>
        <v>98.31231500004651</v>
      </c>
      <c r="K32" s="91">
        <f>SUM(K9:K31)</f>
        <v>0</v>
      </c>
      <c r="L32" s="54">
        <f>SUM(L9:L31)</f>
        <v>3130261.1500000004</v>
      </c>
      <c r="M32" s="91">
        <f>SUM(M9:M31)</f>
        <v>0</v>
      </c>
      <c r="N32" s="54">
        <f>SUM(N9:N31)</f>
        <v>13106140.14223068</v>
      </c>
    </row>
    <row r="33" spans="1:14" ht="14.25" customHeight="1"/>
    <row r="34" spans="1:14" hidden="1"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</row>
    <row r="35" spans="1:14" hidden="1"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</row>
    <row r="36" spans="1:14" hidden="1"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</row>
    <row r="37" spans="1:14" hidden="1"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</row>
    <row r="38" spans="1:14" hidden="1">
      <c r="A38" s="226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</row>
    <row r="39" spans="1:14" hidden="1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</row>
    <row r="40" spans="1:14" hidden="1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227" t="s">
        <v>94</v>
      </c>
      <c r="B1" s="228"/>
      <c r="C1" s="228"/>
      <c r="D1" s="228"/>
      <c r="E1" s="228"/>
      <c r="F1" s="228"/>
      <c r="G1" s="229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75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2025-10-08T17:03:20Z</cp:lastPrinted>
  <dcterms:created xsi:type="dcterms:W3CDTF">2021-10-25T13:53:39Z</dcterms:created>
  <dcterms:modified xsi:type="dcterms:W3CDTF">2025-11-02T18:38:45Z</dcterms:modified>
</cp:coreProperties>
</file>