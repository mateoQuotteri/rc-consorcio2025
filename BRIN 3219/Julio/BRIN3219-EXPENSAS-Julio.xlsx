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BRIN 3219\Julio\"/>
    </mc:Choice>
  </mc:AlternateContent>
  <xr:revisionPtr revIDLastSave="0" documentId="13_ncr:1_{8F1E5B00-AF46-46B3-9428-55DD8E1BF7F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Planilla!$A$1:$N$33</definedName>
    <definedName name="_xlnm.Print_Area" localSheetId="2">RESUMEN!$A$1:$H$99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27" l="1"/>
  <c r="G21" i="1"/>
  <c r="G30" i="1" l="1"/>
  <c r="G11" i="1"/>
  <c r="H51" i="27" l="1"/>
  <c r="H30" i="27"/>
  <c r="H18" i="27"/>
  <c r="H39" i="27"/>
  <c r="H46" i="27"/>
  <c r="G26" i="1"/>
  <c r="G9" i="1"/>
  <c r="G1" i="1" l="1"/>
  <c r="G17" i="1"/>
  <c r="G16" i="1"/>
  <c r="G20" i="1" l="1"/>
  <c r="G23" i="1" l="1"/>
  <c r="G22" i="1"/>
  <c r="G31" i="1"/>
  <c r="M9" i="1" l="1"/>
  <c r="K10" i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6" i="27"/>
  <c r="B5" i="1" l="1"/>
  <c r="H69" i="27"/>
  <c r="G29" i="1" l="1"/>
  <c r="G25" i="1" l="1"/>
  <c r="F1" i="1" l="1"/>
  <c r="H35" i="27" l="1"/>
  <c r="H18" i="1" l="1"/>
  <c r="I18" i="1" s="1"/>
  <c r="G10" i="1" l="1"/>
  <c r="G32" i="1" s="1"/>
  <c r="H98" i="27" l="1"/>
  <c r="H54" i="27" l="1"/>
  <c r="H74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1" i="27" l="1"/>
  <c r="H76" i="27" l="1"/>
  <c r="H77" i="27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59" i="27"/>
  <c r="H64" i="27" s="1"/>
  <c r="H87" i="27" s="1"/>
  <c r="H86" i="27" l="1"/>
  <c r="F32" i="1"/>
  <c r="E32" i="1"/>
  <c r="B32" i="1"/>
  <c r="H75" i="27" l="1"/>
  <c r="H63" i="27"/>
  <c r="H78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85" i="27"/>
  <c r="H91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<sst xmlns="http://schemas.openxmlformats.org/spreadsheetml/2006/main" count="231" uniqueCount="155">
  <si>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</si>
  <si>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</si>
  <si>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</si>
  <si>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</si>
  <si>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</si>
  <si>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</si>
  <si>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</si>
  <si>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</si>
  <si>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</si>
  <si>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</si>
  <si>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</si>
  <si>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</si>
  <si>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</si>
  <si>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</si>
  <si>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</si>
  <si>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</si>
  <si>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</si>
  <si>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</si>
  <si>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</si>
  <si>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</si>
  <si>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</si>
  <si>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</si>
  <si>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</si>
  <si>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</si>
  <si>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</si>
  <si>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</si>
  <si>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</si>
  <si>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</si>
  <si>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</si>
  <si>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</si>
  <si>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</si>
  <si>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</si>
  <si>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</si>
  <si>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</si>
  <si>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</si>
  <si>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</si>
  <si>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</si>
  <si>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</si>
  <si>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</si>
  <si>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</si>
  <si>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</si>
  <si>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</si>
  <si>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</si>
  <si>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</si>
  <si>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</si>
  <si>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</si>
  <si>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</si>
  <si>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</si>
  <si>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</si>
  <si>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</si>
  <si>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</si>
  <si>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</si>
  <si>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</si>
  <si>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</si>
  <si>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</si>
  <si>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</si>
  <si>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</si>
  <si>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</si>
  <si>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</si>
  <si>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</si>
  <si>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</si>
  <si>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</si>
  <si>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</si>
  <si>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</si>
  <si>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</si>
  <si>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</si>
  <si>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</si>
  <si>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</si>
  <si>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</si>
  <si>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</si>
  <si>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</si>
  <si>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</si>
  <si>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</si>
  <si>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</si>
  <si>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</si>
  <si>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</si>
  <si>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</si>
  <si>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</si>
  <si>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</si>
  <si>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</si>
  <si>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</si>
  <si>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</si>
  <si>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</si>
  <si>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</si>
  <si>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</si>
  <si>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</si>
  <si>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</si>
  <si>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</si>
  <si>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</si>
  <si>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</si>
  <si>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</si>
  <si>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</si>
  <si>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</si>
  <si>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</si>
  <si>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</si>
  <si>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</si>
  <si>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</si>
  <si>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</si>
  <si>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</si>
  <si>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</si>
  <si>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</si>
  <si>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</si>
  <si>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</si>
  <si>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</si>
  <si>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</si>
  <si>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</si>
  <si>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</si>
  <si>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</si>
  <si>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</si>
  <si>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</si>
  <si>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</si>
  <si>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</si>
  <si>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</si>
  <si>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</si>
  <si>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</si>
  <si>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</si>
  <si>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</si>
  <si>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</si>
  <si>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</si>
  <si>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</si>
  <si>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</si>
  <si>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</si>
  <si>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</si>
  <si>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</si>
  <si>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</si>
  <si>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</si>
  <si>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</si>
  <si>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</si>
  <si>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</si>
  <si>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</si>
  <si>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</si>
  <si>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</si>
  <si>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</si>
  <si>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</si>
  <si>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Eliseo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</si>
  <si>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</si>
  <si>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</si>
  <si>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</si>
  <si>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</si>
  <si>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</si>
  <si>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</si>
  <si>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</si>
  <si>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</si>
  <si>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</si>
  <si>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GASTOS EXTR. ASCENSOR Y LIBROS</t>
  </si>
  <si>
    <t>Horas extra fumigacion</t>
  </si>
  <si>
    <t>Sueldo Sra Monica Forment y SAC</t>
  </si>
  <si>
    <t>ARCA NO SE PAGA HASTA RESOLVER LA SITUACION CUENTA</t>
  </si>
  <si>
    <t xml:space="preserve">Julio doartero </t>
  </si>
  <si>
    <t>Articulos de limpieza</t>
  </si>
  <si>
    <t>AYSA - 11/07</t>
  </si>
  <si>
    <t>VTO: 14/08</t>
  </si>
  <si>
    <t>JULIO</t>
  </si>
  <si>
    <t>Damato fumigaciones - JULIO</t>
  </si>
  <si>
    <t>Egresos por gastos mes -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</si>
</sst>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4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1" fillId="0" borderId="13" xfId="1" applyFont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44" fontId="2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21" fillId="2" borderId="13" xfId="1" applyNumberFormat="1" applyFont="1" applyFill="1" applyBorder="1"/>
    <xf numFmtId="164" fontId="17" fillId="8" borderId="13" xfId="1" applyNumberFormat="1" applyFont="1" applyFill="1" applyBorder="1"/>
    <xf numFmtId="164" fontId="21" fillId="9" borderId="1" xfId="1" applyNumberFormat="1" applyFont="1" applyFill="1" applyBorder="1"/>
    <xf numFmtId="44" fontId="30" fillId="2" borderId="1" xfId="1" applyFont="1" applyFill="1" applyBorder="1"/>
    <xf numFmtId="0" fontId="21" fillId="5" borderId="1" xfId="0" applyFont="1" applyFill="1" applyBorder="1"/>
    <xf numFmtId="44" fontId="31" fillId="2" borderId="1" xfId="1" applyFont="1" applyFill="1" applyBorder="1"/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5" fontId="22" fillId="3" borderId="1" xfId="0" applyNumberFormat="1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zoomScaleNormal="100" workbookViewId="0">
      <selection activeCell="B5" sqref="B5:C5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4.5546875" customWidth="1"/>
    <col min="13" max="13" width="13.44140625" customWidth="1"/>
    <col min="14" max="14" width="15.109375" customWidth="1"/>
    <col min="15" max="15" width="12" bestFit="1" customWidth="1"/>
  </cols>
  <sheetData>
    <row r="1" spans="1:14" ht="26.25" customHeight="1">
      <c r="A1" s="103"/>
      <c r="B1" s="104"/>
      <c r="C1" s="104"/>
      <c r="D1" s="104"/>
      <c r="E1" s="105" t="s">
        <v>68</v>
      </c>
      <c r="F1" s="106" t="str">
        <f>RESUMEN!F8</f>
        <v>JULIO</v>
      </c>
      <c r="G1" s="107" t="str">
        <f>RESUMEN!G8</f>
        <v>VTO: 14/08</v>
      </c>
      <c r="H1" s="104"/>
      <c r="I1" s="104"/>
      <c r="J1" s="104"/>
      <c r="K1" s="104"/>
      <c r="L1" s="104"/>
      <c r="M1" s="104"/>
      <c r="N1" s="108"/>
    </row>
    <row r="2" spans="1:14">
      <c r="A2" s="61"/>
      <c r="B2" s="61"/>
      <c r="C2" s="128">
        <v>1333150</v>
      </c>
      <c r="D2" s="61"/>
      <c r="E2" s="61"/>
      <c r="F2" s="115"/>
      <c r="G2" s="115"/>
      <c r="H2" s="115"/>
      <c r="I2" s="115"/>
      <c r="J2" s="115"/>
      <c r="K2" s="115"/>
      <c r="L2" s="61"/>
      <c r="M2" s="61"/>
      <c r="N2" s="61"/>
    </row>
    <row r="3" spans="1:14">
      <c r="A3" s="116"/>
      <c r="B3" s="117"/>
      <c r="C3" s="102">
        <v>1886797.93</v>
      </c>
      <c r="D3" s="61"/>
      <c r="E3" s="61"/>
      <c r="F3" s="118"/>
      <c r="G3" s="118"/>
      <c r="H3" s="118"/>
      <c r="I3" s="118"/>
      <c r="J3" s="118"/>
      <c r="K3" s="118"/>
      <c r="L3" s="61" t="s">
        <v>79</v>
      </c>
      <c r="M3" s="61"/>
      <c r="N3" s="61"/>
    </row>
    <row r="4" spans="1:14" ht="18.75" customHeight="1">
      <c r="A4" s="119"/>
      <c r="B4" s="120" t="s">
        <v>80</v>
      </c>
      <c r="C4" s="61"/>
      <c r="D4" s="61"/>
      <c r="E4" s="120" t="s">
        <v>83</v>
      </c>
      <c r="F4" s="124"/>
      <c r="G4" s="118"/>
      <c r="H4" s="118"/>
      <c r="I4" s="118"/>
      <c r="J4" s="118"/>
      <c r="K4" s="118"/>
      <c r="L4" s="61" t="s">
        <v>78</v>
      </c>
      <c r="M4" s="61"/>
      <c r="N4" s="61"/>
    </row>
    <row r="5" spans="1:14" ht="15.75" customHeight="1">
      <c r="A5" s="121"/>
      <c r="B5" s="187">
        <f>C3</f>
        <v>1886797.93</v>
      </c>
      <c r="C5" s="187"/>
      <c r="D5" s="21"/>
      <c r="E5" s="122">
        <v>70000</v>
      </c>
      <c r="F5" s="115"/>
      <c r="G5" s="115"/>
      <c r="H5" s="115"/>
      <c r="I5" s="115"/>
      <c r="J5" s="115"/>
      <c r="K5" s="115"/>
      <c r="L5" s="61"/>
      <c r="M5" s="61"/>
      <c r="N5" s="61"/>
    </row>
    <row r="6" spans="1:14" ht="15.75" customHeight="1">
      <c r="A6" s="121"/>
      <c r="B6" s="123" t="s">
        <v>81</v>
      </c>
      <c r="C6" s="21"/>
      <c r="D6" s="21"/>
      <c r="E6" s="120" t="s">
        <v>105</v>
      </c>
      <c r="F6" s="115"/>
      <c r="G6" s="115"/>
      <c r="H6" s="115"/>
      <c r="I6" s="115"/>
      <c r="J6" s="115"/>
      <c r="K6" s="115"/>
      <c r="L6" s="61"/>
      <c r="M6" s="61"/>
      <c r="N6" s="61"/>
    </row>
    <row r="7" spans="1:14" ht="18.75" customHeight="1">
      <c r="A7" s="121"/>
      <c r="B7" s="187">
        <v>1800000</v>
      </c>
      <c r="C7" s="187"/>
      <c r="D7" s="21"/>
      <c r="E7" s="21"/>
      <c r="F7" s="115"/>
      <c r="G7" s="115"/>
      <c r="H7" s="115"/>
      <c r="I7" s="115"/>
      <c r="J7" s="115"/>
      <c r="K7" s="115"/>
      <c r="L7" s="61"/>
      <c r="M7" s="61"/>
      <c r="N7" s="61"/>
    </row>
    <row r="8" spans="1:14" ht="53.25" customHeight="1" thickBot="1">
      <c r="A8" s="109" t="s">
        <v>0</v>
      </c>
      <c r="B8" s="110" t="s">
        <v>3</v>
      </c>
      <c r="C8" s="111" t="s">
        <v>1</v>
      </c>
      <c r="D8" s="112" t="s">
        <v>107</v>
      </c>
      <c r="E8" s="110" t="s">
        <v>2</v>
      </c>
      <c r="F8" s="113" t="s">
        <v>16</v>
      </c>
      <c r="G8" s="113" t="s">
        <v>63</v>
      </c>
      <c r="H8" s="113" t="s">
        <v>64</v>
      </c>
      <c r="I8" s="113" t="s">
        <v>143</v>
      </c>
      <c r="J8" s="113" t="s">
        <v>65</v>
      </c>
      <c r="K8" s="127" t="s">
        <v>131</v>
      </c>
      <c r="L8" s="110" t="s">
        <v>7</v>
      </c>
      <c r="M8" s="110" t="s">
        <v>144</v>
      </c>
      <c r="N8" s="114" t="s">
        <v>8</v>
      </c>
    </row>
    <row r="9" spans="1:14" ht="15" customHeight="1">
      <c r="A9" s="179">
        <v>1</v>
      </c>
      <c r="B9" s="175" t="s">
        <v>40</v>
      </c>
      <c r="C9" s="176" t="s">
        <v>19</v>
      </c>
      <c r="D9" s="176" t="s">
        <v>106</v>
      </c>
      <c r="E9" s="177">
        <v>4.0500000000000001E-2</v>
      </c>
      <c r="F9" s="99">
        <v>153594.22216499998</v>
      </c>
      <c r="G9" s="180">
        <f>F9</f>
        <v>153594.22216499998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F$4*E9</f>
        <v>0</v>
      </c>
      <c r="L9" s="178">
        <f>B$5*E9</f>
        <v>76415.316164999997</v>
      </c>
      <c r="M9" s="178">
        <f>B$7*E9</f>
        <v>72900</v>
      </c>
      <c r="N9" s="178">
        <f>H9+I9-J9+K9+L9+M9</f>
        <v>149315.316165</v>
      </c>
    </row>
    <row r="10" spans="1:14" ht="15" customHeight="1">
      <c r="A10" s="51">
        <v>2</v>
      </c>
      <c r="B10" s="38" t="s">
        <v>41</v>
      </c>
      <c r="C10" s="93" t="s">
        <v>20</v>
      </c>
      <c r="D10" s="93"/>
      <c r="E10" s="45">
        <v>6.4799999999999996E-2</v>
      </c>
      <c r="F10" s="17">
        <v>245750.75546399999</v>
      </c>
      <c r="G10" s="160">
        <f>F10</f>
        <v>245750.75546399999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0</v>
      </c>
      <c r="L10" s="25">
        <f t="shared" ref="L10:L31" si="3">B$5*E10</f>
        <v>122264.50586399999</v>
      </c>
      <c r="M10" s="25">
        <f t="shared" ref="M10:M31" si="4">B$7*E10</f>
        <v>116640</v>
      </c>
      <c r="N10" s="25">
        <f t="shared" ref="N10:N31" si="5">H10+I10-J10+K10+L10+M10</f>
        <v>238904.50586400001</v>
      </c>
    </row>
    <row r="11" spans="1:14" ht="15" customHeight="1">
      <c r="A11" s="174">
        <v>3</v>
      </c>
      <c r="B11" s="175" t="s">
        <v>42</v>
      </c>
      <c r="C11" s="176" t="s">
        <v>21</v>
      </c>
      <c r="D11" s="176" t="s">
        <v>108</v>
      </c>
      <c r="E11" s="177">
        <v>4.82E-2</v>
      </c>
      <c r="F11" s="99">
        <v>181861.02137776918</v>
      </c>
      <c r="G11" s="160">
        <f>F11</f>
        <v>181861.02137776918</v>
      </c>
      <c r="H11" s="68">
        <f t="shared" si="0"/>
        <v>0</v>
      </c>
      <c r="I11" s="68">
        <f t="shared" ref="I11:I31" si="6">H11*3.7%</f>
        <v>0</v>
      </c>
      <c r="J11" s="68">
        <f t="shared" si="1"/>
        <v>0</v>
      </c>
      <c r="K11" s="68">
        <f t="shared" si="2"/>
        <v>0</v>
      </c>
      <c r="L11" s="178">
        <f t="shared" si="3"/>
        <v>90943.660225999993</v>
      </c>
      <c r="M11" s="178">
        <f t="shared" si="4"/>
        <v>86760</v>
      </c>
      <c r="N11" s="178">
        <f>H11+I11-J11+K11+L11+M11+E7</f>
        <v>177703.66022600001</v>
      </c>
    </row>
    <row r="12" spans="1:14" ht="15" customHeight="1">
      <c r="A12" s="147">
        <v>4</v>
      </c>
      <c r="B12" s="159" t="s">
        <v>43</v>
      </c>
      <c r="C12" s="157" t="s">
        <v>103</v>
      </c>
      <c r="D12" s="157" t="s">
        <v>109</v>
      </c>
      <c r="E12" s="158">
        <v>5.3499999999999999E-2</v>
      </c>
      <c r="F12" s="151">
        <v>1574699.6699171257</v>
      </c>
      <c r="G12" s="161"/>
      <c r="H12" s="152">
        <f t="shared" si="0"/>
        <v>1574699.6699171257</v>
      </c>
      <c r="I12" s="152">
        <f t="shared" si="6"/>
        <v>58263.887786933657</v>
      </c>
      <c r="J12" s="152">
        <f t="shared" si="1"/>
        <v>0</v>
      </c>
      <c r="K12" s="152">
        <f t="shared" si="2"/>
        <v>0</v>
      </c>
      <c r="L12" s="153">
        <f t="shared" si="3"/>
        <v>100943.68925499999</v>
      </c>
      <c r="M12" s="153">
        <f t="shared" si="4"/>
        <v>96300</v>
      </c>
      <c r="N12" s="153">
        <f t="shared" si="5"/>
        <v>1830207.2469590595</v>
      </c>
    </row>
    <row r="13" spans="1:14" ht="15" customHeight="1">
      <c r="A13" s="51">
        <v>5</v>
      </c>
      <c r="B13" s="38" t="s">
        <v>44</v>
      </c>
      <c r="C13" s="94" t="s">
        <v>23</v>
      </c>
      <c r="D13" s="93"/>
      <c r="E13" s="45">
        <v>3.85E-2</v>
      </c>
      <c r="F13" s="17">
        <v>146009.32230499998</v>
      </c>
      <c r="G13" s="160"/>
      <c r="H13" s="24">
        <f t="shared" si="0"/>
        <v>146009.32230499998</v>
      </c>
      <c r="I13" s="24">
        <f t="shared" si="6"/>
        <v>5402.3449252849996</v>
      </c>
      <c r="J13" s="24">
        <f t="shared" si="1"/>
        <v>0</v>
      </c>
      <c r="K13" s="24">
        <f t="shared" si="2"/>
        <v>0</v>
      </c>
      <c r="L13" s="25">
        <f t="shared" si="3"/>
        <v>72641.720304999995</v>
      </c>
      <c r="M13" s="25">
        <f t="shared" si="4"/>
        <v>69300</v>
      </c>
      <c r="N13" s="25">
        <f t="shared" si="5"/>
        <v>293353.38753528497</v>
      </c>
    </row>
    <row r="14" spans="1:14" ht="15" customHeight="1">
      <c r="A14" s="51">
        <v>6</v>
      </c>
      <c r="B14" s="40" t="s">
        <v>45</v>
      </c>
      <c r="C14" s="94" t="s">
        <v>24</v>
      </c>
      <c r="D14" s="93" t="s">
        <v>110</v>
      </c>
      <c r="E14" s="45">
        <v>3.5900000000000001E-2</v>
      </c>
      <c r="F14" s="17">
        <v>136148.952487</v>
      </c>
      <c r="G14" s="160">
        <f>F14</f>
        <v>136148.952487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0</v>
      </c>
      <c r="L14" s="25">
        <f t="shared" si="3"/>
        <v>67736.045687000005</v>
      </c>
      <c r="M14" s="25">
        <f t="shared" si="4"/>
        <v>64620</v>
      </c>
      <c r="N14" s="25">
        <f t="shared" si="5"/>
        <v>132356.04568700001</v>
      </c>
    </row>
    <row r="15" spans="1:14" ht="15" customHeight="1">
      <c r="A15" s="51">
        <v>7</v>
      </c>
      <c r="B15" s="40" t="s">
        <v>46</v>
      </c>
      <c r="C15" s="94" t="s">
        <v>25</v>
      </c>
      <c r="D15" s="93" t="s">
        <v>111</v>
      </c>
      <c r="E15" s="45">
        <v>4.1399999999999999E-2</v>
      </c>
      <c r="F15" s="17">
        <v>157015.12900677399</v>
      </c>
      <c r="G15" s="160">
        <v>157000</v>
      </c>
      <c r="H15" s="24">
        <f t="shared" si="0"/>
        <v>15.129006773990113</v>
      </c>
      <c r="I15" s="24">
        <f t="shared" si="6"/>
        <v>0.55977325063763428</v>
      </c>
      <c r="J15" s="24">
        <f t="shared" si="1"/>
        <v>0</v>
      </c>
      <c r="K15" s="24">
        <f t="shared" si="2"/>
        <v>0</v>
      </c>
      <c r="L15" s="25">
        <f t="shared" si="3"/>
        <v>78113.434301999994</v>
      </c>
      <c r="M15" s="25">
        <f t="shared" si="4"/>
        <v>74520</v>
      </c>
      <c r="N15" s="25">
        <f t="shared" si="5"/>
        <v>152649.12308202463</v>
      </c>
    </row>
    <row r="16" spans="1:14" ht="15" customHeight="1">
      <c r="A16" s="51">
        <v>8</v>
      </c>
      <c r="B16" s="40" t="s">
        <v>47</v>
      </c>
      <c r="C16" s="94" t="s">
        <v>77</v>
      </c>
      <c r="D16" s="93" t="s">
        <v>112</v>
      </c>
      <c r="E16" s="45">
        <v>5.3499999999999999E-2</v>
      </c>
      <c r="F16" s="17">
        <v>202896.07125499999</v>
      </c>
      <c r="G16" s="160">
        <f>F16</f>
        <v>202896.07125499999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0</v>
      </c>
      <c r="L16" s="25">
        <f t="shared" si="3"/>
        <v>100943.68925499999</v>
      </c>
      <c r="M16" s="25">
        <f t="shared" si="4"/>
        <v>96300</v>
      </c>
      <c r="N16" s="25">
        <f t="shared" si="5"/>
        <v>197243.68925499998</v>
      </c>
    </row>
    <row r="17" spans="1:15" ht="15" customHeight="1">
      <c r="A17" s="51">
        <v>9</v>
      </c>
      <c r="B17" s="40" t="s">
        <v>48</v>
      </c>
      <c r="C17" s="94" t="s">
        <v>26</v>
      </c>
      <c r="D17" s="93" t="s">
        <v>113</v>
      </c>
      <c r="E17" s="45">
        <v>3.85E-2</v>
      </c>
      <c r="F17" s="17">
        <v>146009.32230499998</v>
      </c>
      <c r="G17" s="160">
        <f>F17</f>
        <v>146009.32230499998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0</v>
      </c>
      <c r="L17" s="25">
        <f t="shared" si="3"/>
        <v>72641.720304999995</v>
      </c>
      <c r="M17" s="25">
        <f t="shared" si="4"/>
        <v>69300</v>
      </c>
      <c r="N17" s="25">
        <f t="shared" si="5"/>
        <v>141941.720305</v>
      </c>
    </row>
    <row r="18" spans="1:15" ht="15" customHeight="1">
      <c r="A18" s="147">
        <v>10</v>
      </c>
      <c r="B18" s="154" t="s">
        <v>49</v>
      </c>
      <c r="C18" s="155" t="s">
        <v>27</v>
      </c>
      <c r="D18" s="157"/>
      <c r="E18" s="158">
        <v>3.5900000000000001E-2</v>
      </c>
      <c r="F18" s="151">
        <v>797589.48075350327</v>
      </c>
      <c r="G18" s="161"/>
      <c r="H18" s="152">
        <f>IF(F18&gt;G18,F18-G18,0)</f>
        <v>797589.48075350327</v>
      </c>
      <c r="I18" s="152">
        <f t="shared" si="6"/>
        <v>29510.810787879625</v>
      </c>
      <c r="J18" s="152">
        <f t="shared" si="1"/>
        <v>0</v>
      </c>
      <c r="K18" s="152">
        <f t="shared" si="2"/>
        <v>0</v>
      </c>
      <c r="L18" s="153">
        <f t="shared" si="3"/>
        <v>67736.045687000005</v>
      </c>
      <c r="M18" s="153">
        <f t="shared" si="4"/>
        <v>64620</v>
      </c>
      <c r="N18" s="153">
        <f t="shared" si="5"/>
        <v>959456.33722838294</v>
      </c>
    </row>
    <row r="19" spans="1:15" ht="15" customHeight="1">
      <c r="A19" s="147">
        <v>11</v>
      </c>
      <c r="B19" s="154" t="s">
        <v>50</v>
      </c>
      <c r="C19" s="155" t="s">
        <v>28</v>
      </c>
      <c r="D19" s="157" t="s">
        <v>114</v>
      </c>
      <c r="E19" s="158">
        <v>4.1399999999999999E-2</v>
      </c>
      <c r="F19" s="151">
        <v>983937.78209233307</v>
      </c>
      <c r="G19" s="161"/>
      <c r="H19" s="152">
        <f t="shared" si="0"/>
        <v>983937.78209233307</v>
      </c>
      <c r="I19" s="152">
        <f t="shared" si="6"/>
        <v>36405.697937416327</v>
      </c>
      <c r="J19" s="152">
        <f t="shared" si="1"/>
        <v>0</v>
      </c>
      <c r="K19" s="152">
        <f t="shared" si="2"/>
        <v>0</v>
      </c>
      <c r="L19" s="153">
        <f t="shared" si="3"/>
        <v>78113.434301999994</v>
      </c>
      <c r="M19" s="153">
        <f t="shared" si="4"/>
        <v>74520</v>
      </c>
      <c r="N19" s="153">
        <f t="shared" si="5"/>
        <v>1172976.9143317495</v>
      </c>
    </row>
    <row r="20" spans="1:15" ht="15" customHeight="1">
      <c r="A20" s="51">
        <v>12</v>
      </c>
      <c r="B20" s="41" t="s">
        <v>51</v>
      </c>
      <c r="C20" s="101" t="s">
        <v>120</v>
      </c>
      <c r="D20" s="97" t="s">
        <v>129</v>
      </c>
      <c r="E20" s="46">
        <v>5.3499999999999999E-2</v>
      </c>
      <c r="F20" s="17">
        <v>202896.07125499999</v>
      </c>
      <c r="G20" s="160">
        <f>F20</f>
        <v>202896.07125499999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0</v>
      </c>
      <c r="L20" s="25">
        <f t="shared" si="3"/>
        <v>100943.68925499999</v>
      </c>
      <c r="M20" s="25">
        <f t="shared" si="4"/>
        <v>96300</v>
      </c>
      <c r="N20" s="25">
        <f t="shared" si="5"/>
        <v>197243.68925499998</v>
      </c>
    </row>
    <row r="21" spans="1:15" ht="15" customHeight="1">
      <c r="A21" s="147">
        <v>13</v>
      </c>
      <c r="B21" s="154" t="s">
        <v>52</v>
      </c>
      <c r="C21" s="155" t="s">
        <v>30</v>
      </c>
      <c r="D21" s="155" t="s">
        <v>142</v>
      </c>
      <c r="E21" s="156">
        <v>3.85E-2</v>
      </c>
      <c r="F21" s="151">
        <v>632321.65318128711</v>
      </c>
      <c r="G21" s="182">
        <f>72641.6*2</f>
        <v>145283.20000000001</v>
      </c>
      <c r="H21" s="152">
        <f t="shared" si="0"/>
        <v>487038.4531812871</v>
      </c>
      <c r="I21" s="152">
        <f t="shared" si="6"/>
        <v>18020.422767707627</v>
      </c>
      <c r="J21" s="152">
        <f t="shared" si="1"/>
        <v>0</v>
      </c>
      <c r="K21" s="152">
        <f t="shared" si="2"/>
        <v>0</v>
      </c>
      <c r="L21" s="153">
        <f t="shared" si="3"/>
        <v>72641.720304999995</v>
      </c>
      <c r="M21" s="153">
        <f t="shared" si="4"/>
        <v>69300</v>
      </c>
      <c r="N21" s="153">
        <f t="shared" si="5"/>
        <v>647000.59625399474</v>
      </c>
    </row>
    <row r="22" spans="1:15" ht="15" customHeight="1">
      <c r="A22" s="51">
        <v>14</v>
      </c>
      <c r="B22" s="40" t="s">
        <v>53</v>
      </c>
      <c r="C22" s="94" t="s">
        <v>31</v>
      </c>
      <c r="D22" s="94" t="s">
        <v>115</v>
      </c>
      <c r="E22" s="47">
        <v>3.5900000000000001E-2</v>
      </c>
      <c r="F22" s="17">
        <v>136148.952487</v>
      </c>
      <c r="G22" s="160">
        <f>F22</f>
        <v>136148.952487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0</v>
      </c>
      <c r="L22" s="25">
        <f t="shared" si="3"/>
        <v>67736.045687000005</v>
      </c>
      <c r="M22" s="25">
        <f t="shared" si="4"/>
        <v>64620</v>
      </c>
      <c r="N22" s="25">
        <f t="shared" si="5"/>
        <v>132356.04568700001</v>
      </c>
    </row>
    <row r="23" spans="1:15" ht="15" customHeight="1">
      <c r="A23" s="51">
        <v>15</v>
      </c>
      <c r="B23" s="42" t="s">
        <v>54</v>
      </c>
      <c r="C23" s="95" t="s">
        <v>32</v>
      </c>
      <c r="D23" s="95" t="s">
        <v>116</v>
      </c>
      <c r="E23" s="48">
        <v>4.1399999999999999E-2</v>
      </c>
      <c r="F23" s="17">
        <v>157007.42710199999</v>
      </c>
      <c r="G23" s="160">
        <f>F23</f>
        <v>157007.42710199999</v>
      </c>
      <c r="H23" s="24">
        <f t="shared" si="0"/>
        <v>0</v>
      </c>
      <c r="I23" s="24">
        <f t="shared" si="6"/>
        <v>0</v>
      </c>
      <c r="J23" s="24">
        <f t="shared" si="1"/>
        <v>0</v>
      </c>
      <c r="K23" s="24">
        <f t="shared" si="2"/>
        <v>0</v>
      </c>
      <c r="L23" s="25">
        <f t="shared" si="3"/>
        <v>78113.434301999994</v>
      </c>
      <c r="M23" s="25">
        <f t="shared" si="4"/>
        <v>74520</v>
      </c>
      <c r="N23" s="25">
        <f t="shared" si="5"/>
        <v>152633.43430199998</v>
      </c>
    </row>
    <row r="24" spans="1:15" ht="15" customHeight="1">
      <c r="A24" s="51">
        <v>16</v>
      </c>
      <c r="B24" s="43" t="s">
        <v>55</v>
      </c>
      <c r="C24" s="96" t="s">
        <v>33</v>
      </c>
      <c r="D24" s="96"/>
      <c r="E24" s="49">
        <v>5.3499999999999999E-2</v>
      </c>
      <c r="F24" s="17">
        <v>202896.07125499999</v>
      </c>
      <c r="G24" s="160">
        <f>F24</f>
        <v>202896.07125499999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0</v>
      </c>
      <c r="L24" s="25">
        <f t="shared" si="3"/>
        <v>100943.68925499999</v>
      </c>
      <c r="M24" s="25">
        <f t="shared" si="4"/>
        <v>96300</v>
      </c>
      <c r="N24" s="25">
        <f t="shared" si="5"/>
        <v>197243.68925499998</v>
      </c>
    </row>
    <row r="25" spans="1:15" s="1" customFormat="1" ht="15.75" customHeight="1">
      <c r="A25" s="51">
        <v>17</v>
      </c>
      <c r="B25" s="66" t="s">
        <v>56</v>
      </c>
      <c r="C25" s="96" t="s">
        <v>95</v>
      </c>
      <c r="D25" s="96" t="s">
        <v>117</v>
      </c>
      <c r="E25" s="49">
        <v>3.85E-2</v>
      </c>
      <c r="F25" s="17">
        <v>146009.32230499998</v>
      </c>
      <c r="G25" s="160">
        <f t="shared" ref="G25:G26" si="7">F25</f>
        <v>146009.32230499998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0</v>
      </c>
      <c r="L25" s="25">
        <f t="shared" si="3"/>
        <v>72641.720304999995</v>
      </c>
      <c r="M25" s="25">
        <f t="shared" si="4"/>
        <v>69300</v>
      </c>
      <c r="N25" s="25">
        <f t="shared" si="5"/>
        <v>141941.720305</v>
      </c>
    </row>
    <row r="26" spans="1:15" ht="15" customHeight="1">
      <c r="A26" s="51">
        <v>18</v>
      </c>
      <c r="B26" s="44" t="s">
        <v>57</v>
      </c>
      <c r="C26" s="96" t="s">
        <v>34</v>
      </c>
      <c r="D26" s="96"/>
      <c r="E26" s="49">
        <v>3.5900000000000001E-2</v>
      </c>
      <c r="F26" s="17">
        <v>136148.952487</v>
      </c>
      <c r="G26" s="160">
        <f t="shared" si="7"/>
        <v>136148.952487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0</v>
      </c>
      <c r="L26" s="25">
        <f t="shared" si="3"/>
        <v>67736.045687000005</v>
      </c>
      <c r="M26" s="25">
        <f t="shared" si="4"/>
        <v>64620</v>
      </c>
      <c r="N26" s="25">
        <f t="shared" si="5"/>
        <v>132356.04568700001</v>
      </c>
    </row>
    <row r="27" spans="1:15" ht="15" customHeight="1">
      <c r="A27" s="147">
        <v>19</v>
      </c>
      <c r="B27" s="148" t="s">
        <v>58</v>
      </c>
      <c r="C27" s="149" t="s">
        <v>35</v>
      </c>
      <c r="D27" s="149" t="s">
        <v>130</v>
      </c>
      <c r="E27" s="150">
        <v>4.1399999999999999E-2</v>
      </c>
      <c r="F27" s="151">
        <v>2366233.714203204</v>
      </c>
      <c r="G27" s="161">
        <v>157010</v>
      </c>
      <c r="H27" s="181">
        <f t="shared" si="0"/>
        <v>2209223.714203204</v>
      </c>
      <c r="I27" s="152">
        <f t="shared" si="6"/>
        <v>81741.277425518565</v>
      </c>
      <c r="J27" s="152">
        <f t="shared" si="1"/>
        <v>0</v>
      </c>
      <c r="K27" s="152">
        <f t="shared" si="2"/>
        <v>0</v>
      </c>
      <c r="L27" s="153">
        <f t="shared" si="3"/>
        <v>78113.434301999994</v>
      </c>
      <c r="M27" s="153">
        <f t="shared" si="4"/>
        <v>74520</v>
      </c>
      <c r="N27" s="153">
        <f t="shared" si="5"/>
        <v>2443598.4259307226</v>
      </c>
    </row>
    <row r="28" spans="1:15" ht="17.25" customHeight="1">
      <c r="A28" s="51">
        <v>20</v>
      </c>
      <c r="B28" s="44" t="s">
        <v>59</v>
      </c>
      <c r="C28" s="96" t="s">
        <v>36</v>
      </c>
      <c r="D28" s="96"/>
      <c r="E28" s="49">
        <v>5.3499999999999999E-2</v>
      </c>
      <c r="F28" s="17">
        <v>197237.37850999995</v>
      </c>
      <c r="G28" s="160">
        <v>190250</v>
      </c>
      <c r="H28" s="68">
        <f t="shared" si="0"/>
        <v>6987.3785099999513</v>
      </c>
      <c r="I28" s="24">
        <f t="shared" si="6"/>
        <v>258.53300486999825</v>
      </c>
      <c r="J28" s="24">
        <f t="shared" si="1"/>
        <v>0</v>
      </c>
      <c r="K28" s="24"/>
      <c r="L28" s="25">
        <f t="shared" si="3"/>
        <v>100943.68925499999</v>
      </c>
      <c r="M28" s="25">
        <f t="shared" si="4"/>
        <v>96300</v>
      </c>
      <c r="N28" s="25">
        <f t="shared" si="5"/>
        <v>204489.60076986992</v>
      </c>
    </row>
    <row r="29" spans="1:15" ht="15" customHeight="1">
      <c r="A29" s="51">
        <v>21</v>
      </c>
      <c r="B29" s="43" t="s">
        <v>60</v>
      </c>
      <c r="C29" s="96" t="s">
        <v>104</v>
      </c>
      <c r="D29" s="96"/>
      <c r="E29" s="49">
        <v>3.85E-2</v>
      </c>
      <c r="F29" s="17">
        <v>146009.32230499998</v>
      </c>
      <c r="G29" s="160">
        <f>F29</f>
        <v>146009.32230499998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0</v>
      </c>
      <c r="L29" s="25">
        <f t="shared" si="3"/>
        <v>72641.720304999995</v>
      </c>
      <c r="M29" s="25">
        <f t="shared" si="4"/>
        <v>69300</v>
      </c>
      <c r="N29" s="25">
        <f t="shared" si="5"/>
        <v>141941.720305</v>
      </c>
      <c r="O29" s="7"/>
    </row>
    <row r="30" spans="1:15" ht="15" customHeight="1">
      <c r="A30" s="51">
        <v>22</v>
      </c>
      <c r="B30" s="43" t="s">
        <v>61</v>
      </c>
      <c r="C30" s="96" t="s">
        <v>127</v>
      </c>
      <c r="D30" s="96" t="s">
        <v>134</v>
      </c>
      <c r="E30" s="49">
        <v>3.5900000000000001E-2</v>
      </c>
      <c r="F30" s="17">
        <v>136097.904974</v>
      </c>
      <c r="G30" s="160">
        <f>F30</f>
        <v>136097.904974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0</v>
      </c>
      <c r="L30" s="25">
        <f t="shared" si="3"/>
        <v>67736.045687000005</v>
      </c>
      <c r="M30" s="25">
        <f t="shared" si="4"/>
        <v>64620</v>
      </c>
      <c r="N30" s="25">
        <f t="shared" si="5"/>
        <v>132356.04568700001</v>
      </c>
    </row>
    <row r="31" spans="1:15" ht="15" customHeight="1">
      <c r="A31" s="51">
        <v>23</v>
      </c>
      <c r="B31" s="43" t="s">
        <v>62</v>
      </c>
      <c r="C31" s="96" t="s">
        <v>39</v>
      </c>
      <c r="D31" s="96"/>
      <c r="E31" s="49">
        <v>4.1399999999999999E-2</v>
      </c>
      <c r="F31" s="17">
        <v>157007.42710199999</v>
      </c>
      <c r="G31" s="160">
        <f>F31</f>
        <v>157007.42710199999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0</v>
      </c>
      <c r="L31" s="25">
        <f t="shared" si="3"/>
        <v>78113.434301999994</v>
      </c>
      <c r="M31" s="25">
        <f t="shared" si="4"/>
        <v>74520</v>
      </c>
      <c r="N31" s="25">
        <f t="shared" si="5"/>
        <v>152633.43430199998</v>
      </c>
    </row>
    <row r="32" spans="1:15" ht="15.6">
      <c r="A32" s="37"/>
      <c r="B32" s="52">
        <f>SUM(B9:B31)</f>
        <v>0</v>
      </c>
      <c r="C32" s="37"/>
      <c r="D32" s="37"/>
      <c r="E32" s="53">
        <f>SUM(E9:E31)</f>
        <v>1</v>
      </c>
      <c r="F32" s="100">
        <f>SUM(F9:F31)</f>
        <v>9341525.9262949992</v>
      </c>
      <c r="G32" s="100">
        <f>SUM(G9:G31)</f>
        <v>3136024.996325769</v>
      </c>
      <c r="H32" s="126">
        <f>SUM(H9:H31)</f>
        <v>6205500.9299692269</v>
      </c>
      <c r="I32" s="54">
        <f>SUM(I9:I31)</f>
        <v>229603.53440886142</v>
      </c>
      <c r="J32" s="100">
        <f t="shared" ref="J32" si="8">SUM(J9:J31)</f>
        <v>0</v>
      </c>
      <c r="K32" s="91">
        <f>SUM(K9:K31)</f>
        <v>0</v>
      </c>
      <c r="L32" s="54">
        <f>SUM(L9:L31)</f>
        <v>1886797.9300000004</v>
      </c>
      <c r="M32" s="91">
        <f>SUM(M9:M31)</f>
        <v>1800000</v>
      </c>
      <c r="N32" s="54">
        <f>SUM(N9:N31)</f>
        <v>10121902.394378088</v>
      </c>
    </row>
    <row r="33" spans="1:14" ht="14.25" customHeight="1"/>
    <row r="34" spans="1:14" hidden="1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</row>
    <row r="35" spans="1:14" hidden="1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</row>
    <row r="36" spans="1:14" hidden="1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</row>
    <row r="37" spans="1:14" hidden="1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</row>
    <row r="38" spans="1:14" hidden="1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</row>
    <row r="39" spans="1:14" hidden="1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</row>
    <row r="40" spans="1:14" hidden="1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189" t="s">
        <v>94</v>
      </c>
      <c r="B1" s="190"/>
      <c r="C1" s="190"/>
      <c r="D1" s="190"/>
      <c r="E1" s="190"/>
      <c r="F1" s="190"/>
      <c r="G1" s="191"/>
    </row>
    <row r="2" spans="1:7">
      <c r="A2" s="30"/>
      <c r="G2" s="31"/>
    </row>
    <row r="3" spans="1:7">
      <c r="A3" s="57"/>
      <c r="B3" s="59" t="s">
        <v>93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3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2" t="s">
        <v>2</v>
      </c>
      <c r="E8" s="27" t="s">
        <v>15</v>
      </c>
      <c r="F8" s="75" t="s">
        <v>98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1">
        <f>B$4*D9</f>
        <v>16200</v>
      </c>
      <c r="F9" s="71"/>
      <c r="G9" s="71" t="s">
        <v>100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1">
        <f t="shared" ref="E10:E31" si="0">B$4*D10</f>
        <v>25920</v>
      </c>
      <c r="F10" s="71"/>
      <c r="G10" s="71" t="s">
        <v>100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1">
        <f t="shared" si="0"/>
        <v>19280</v>
      </c>
      <c r="F11" s="71"/>
      <c r="G11" s="71" t="s">
        <v>100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1">
        <f t="shared" si="0"/>
        <v>21400</v>
      </c>
      <c r="F12" s="71"/>
      <c r="G12" s="71" t="s">
        <v>100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1">
        <f t="shared" si="0"/>
        <v>15400</v>
      </c>
      <c r="F13" s="71"/>
      <c r="G13" s="71" t="s">
        <v>100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1">
        <f t="shared" si="0"/>
        <v>14360</v>
      </c>
      <c r="F14" s="71">
        <f>E14*6.3%</f>
        <v>904.68</v>
      </c>
      <c r="G14" s="71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1">
        <f t="shared" si="0"/>
        <v>16560</v>
      </c>
      <c r="F15" s="71"/>
      <c r="G15" s="71" t="s">
        <v>100</v>
      </c>
    </row>
    <row r="16" spans="1:7">
      <c r="A16" s="51">
        <v>8</v>
      </c>
      <c r="B16" s="40" t="s">
        <v>47</v>
      </c>
      <c r="C16" s="34" t="s">
        <v>77</v>
      </c>
      <c r="D16" s="45">
        <v>5.3499999999999999E-2</v>
      </c>
      <c r="E16" s="71">
        <f t="shared" si="0"/>
        <v>21400</v>
      </c>
      <c r="F16" s="71"/>
      <c r="G16" s="71" t="s">
        <v>100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1">
        <f t="shared" si="0"/>
        <v>15400</v>
      </c>
      <c r="F17" s="71"/>
      <c r="G17" s="71" t="s">
        <v>100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1">
        <f t="shared" si="0"/>
        <v>14360</v>
      </c>
      <c r="F18" s="71"/>
      <c r="G18" s="71" t="s">
        <v>100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1">
        <f t="shared" si="0"/>
        <v>16560</v>
      </c>
      <c r="F19" s="71">
        <f>E19*6.3%</f>
        <v>1043.28</v>
      </c>
      <c r="G19" s="71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1">
        <f t="shared" si="0"/>
        <v>21400</v>
      </c>
      <c r="F20" s="71"/>
      <c r="G20" s="71" t="s">
        <v>100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1">
        <f t="shared" si="0"/>
        <v>15400</v>
      </c>
      <c r="F21" s="71"/>
      <c r="G21" s="71" t="s">
        <v>100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1">
        <f t="shared" si="0"/>
        <v>14360</v>
      </c>
      <c r="F22" s="71"/>
      <c r="G22" s="71" t="s">
        <v>100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1">
        <f t="shared" si="0"/>
        <v>16560</v>
      </c>
      <c r="F23" s="71"/>
      <c r="G23" s="71" t="s">
        <v>100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1">
        <f t="shared" si="0"/>
        <v>21400</v>
      </c>
      <c r="F24" s="71"/>
      <c r="G24" s="71" t="s">
        <v>100</v>
      </c>
    </row>
    <row r="25" spans="1:7" ht="15.6">
      <c r="A25" s="51">
        <v>17</v>
      </c>
      <c r="B25" s="66" t="s">
        <v>56</v>
      </c>
      <c r="C25" s="65" t="s">
        <v>95</v>
      </c>
      <c r="D25" s="49">
        <v>3.85E-2</v>
      </c>
      <c r="E25" s="71">
        <f t="shared" si="0"/>
        <v>15400</v>
      </c>
      <c r="F25" s="71"/>
      <c r="G25" s="71" t="s">
        <v>100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1">
        <f t="shared" si="0"/>
        <v>14360</v>
      </c>
      <c r="F26" s="71"/>
      <c r="G26" s="71" t="s">
        <v>100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1">
        <f t="shared" si="0"/>
        <v>16560</v>
      </c>
      <c r="F27" s="71">
        <f>E27*6.3%</f>
        <v>1043.28</v>
      </c>
      <c r="G27" s="71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1">
        <f t="shared" si="0"/>
        <v>21400</v>
      </c>
      <c r="F28" s="71"/>
      <c r="G28" s="71" t="s">
        <v>100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1">
        <f t="shared" si="0"/>
        <v>15400</v>
      </c>
      <c r="F29" s="71"/>
      <c r="G29" s="71" t="s">
        <v>100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1">
        <f t="shared" si="0"/>
        <v>14360</v>
      </c>
      <c r="F30" s="71"/>
      <c r="G30" s="71" t="s">
        <v>100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1">
        <f t="shared" si="0"/>
        <v>16560</v>
      </c>
      <c r="F31" s="71"/>
      <c r="G31" s="71" t="s">
        <v>100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8" t="s">
        <v>99</v>
      </c>
      <c r="D34" s="76"/>
      <c r="E34" s="77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4"/>
  <sheetViews>
    <sheetView tabSelected="1" zoomScaleNormal="100" workbookViewId="0">
      <selection activeCell="G9" sqref="G9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2.88671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24"/>
      <c r="E2" s="225"/>
      <c r="F2" s="225"/>
      <c r="G2" s="225"/>
      <c r="H2" s="226"/>
    </row>
    <row r="3" spans="1:9">
      <c r="A3" s="10"/>
      <c r="D3" s="14" t="s">
        <v>6</v>
      </c>
      <c r="E3" s="200">
        <v>1153202676</v>
      </c>
      <c r="F3" s="200"/>
      <c r="G3" s="200"/>
      <c r="H3" s="201"/>
    </row>
    <row r="4" spans="1:9">
      <c r="A4" s="10"/>
      <c r="D4" s="14" t="s">
        <v>4</v>
      </c>
      <c r="E4" s="55" t="s">
        <v>66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119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67</v>
      </c>
      <c r="F8" s="90" t="s">
        <v>152</v>
      </c>
      <c r="G8" s="19" t="s">
        <v>151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32"/>
      <c r="B12" s="193"/>
      <c r="C12" s="193"/>
      <c r="D12" s="193"/>
      <c r="E12" s="193"/>
      <c r="F12" s="193"/>
      <c r="G12" s="193"/>
      <c r="H12" s="233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06" t="s">
        <v>128</v>
      </c>
      <c r="B14" s="206"/>
      <c r="C14" s="206"/>
      <c r="D14" s="206"/>
      <c r="E14" s="206"/>
      <c r="F14" s="206"/>
      <c r="G14" s="206"/>
      <c r="H14" s="206"/>
    </row>
    <row r="15" spans="1:9">
      <c r="A15" s="170" t="s">
        <v>146</v>
      </c>
      <c r="B15" s="141"/>
      <c r="C15" s="141"/>
      <c r="D15" s="141"/>
      <c r="E15" s="141"/>
      <c r="F15" s="141"/>
      <c r="G15" s="141"/>
      <c r="H15" s="74">
        <v>391137.56</v>
      </c>
    </row>
    <row r="16" spans="1:9">
      <c r="A16" s="170" t="s">
        <v>89</v>
      </c>
      <c r="B16" s="141"/>
      <c r="C16" s="141"/>
      <c r="D16" s="141"/>
      <c r="E16" s="141"/>
      <c r="F16" s="141"/>
      <c r="G16" s="141"/>
      <c r="H16" s="74">
        <v>-61604.17</v>
      </c>
      <c r="I16" s="7"/>
    </row>
    <row r="17" spans="1:9">
      <c r="A17" s="170" t="s">
        <v>122</v>
      </c>
      <c r="B17" s="141"/>
      <c r="C17" s="141"/>
      <c r="D17" s="141"/>
      <c r="E17" s="141"/>
      <c r="F17" s="141"/>
      <c r="G17" s="141"/>
      <c r="H17" s="74">
        <v>0.61</v>
      </c>
      <c r="I17" s="7"/>
    </row>
    <row r="18" spans="1:9">
      <c r="A18" s="170" t="s">
        <v>75</v>
      </c>
      <c r="B18" s="141"/>
      <c r="C18" s="141"/>
      <c r="D18" s="141"/>
      <c r="E18" s="141"/>
      <c r="F18" s="141"/>
      <c r="G18" s="141"/>
      <c r="H18" s="74">
        <f>SUM(H15:H17)</f>
        <v>329534</v>
      </c>
      <c r="I18" s="7"/>
    </row>
    <row r="19" spans="1:9" ht="0.75" customHeight="1">
      <c r="A19" s="228" t="s">
        <v>132</v>
      </c>
      <c r="B19" s="228"/>
      <c r="C19" s="228"/>
      <c r="D19" s="228"/>
      <c r="E19" s="228"/>
      <c r="F19" s="228"/>
      <c r="G19" s="228"/>
      <c r="H19" s="228"/>
    </row>
    <row r="20" spans="1:9" hidden="1">
      <c r="A20" s="170" t="s">
        <v>132</v>
      </c>
      <c r="B20" s="141"/>
      <c r="C20" s="141"/>
      <c r="D20" s="141"/>
      <c r="E20" s="141"/>
      <c r="F20" s="141"/>
      <c r="G20" s="141"/>
      <c r="H20" s="74"/>
    </row>
    <row r="21" spans="1:9" hidden="1">
      <c r="A21" s="170"/>
      <c r="B21" s="141"/>
      <c r="C21" s="141"/>
      <c r="D21" s="141"/>
      <c r="E21" s="141"/>
      <c r="F21" s="141"/>
      <c r="G21" s="141"/>
      <c r="H21" s="74">
        <v>0</v>
      </c>
    </row>
    <row r="22" spans="1:9" hidden="1">
      <c r="A22" s="170"/>
      <c r="B22" s="141"/>
      <c r="C22" s="141"/>
      <c r="D22" s="141"/>
      <c r="E22" s="141"/>
      <c r="F22" s="141"/>
      <c r="G22" s="141"/>
      <c r="H22" s="74">
        <v>0</v>
      </c>
    </row>
    <row r="23" spans="1:9" hidden="1">
      <c r="A23" s="170"/>
      <c r="B23" s="141"/>
      <c r="C23" s="141"/>
      <c r="D23" s="141"/>
      <c r="E23" s="141"/>
      <c r="F23" s="141"/>
      <c r="G23" s="141"/>
      <c r="H23" s="74">
        <v>0</v>
      </c>
    </row>
    <row r="24" spans="1:9" hidden="1">
      <c r="A24" s="170" t="s">
        <v>133</v>
      </c>
      <c r="B24" s="141"/>
      <c r="C24" s="141"/>
      <c r="D24" s="141"/>
      <c r="E24" s="141"/>
      <c r="F24" s="141"/>
      <c r="G24" s="141"/>
      <c r="H24" s="74"/>
    </row>
    <row r="25" spans="1:9" hidden="1">
      <c r="A25" s="170" t="s">
        <v>89</v>
      </c>
      <c r="B25" s="141"/>
      <c r="C25" s="141"/>
      <c r="D25" s="141"/>
      <c r="E25" s="141"/>
      <c r="F25" s="141"/>
      <c r="G25" s="141"/>
      <c r="H25" s="74"/>
    </row>
    <row r="26" spans="1:9" hidden="1">
      <c r="A26" s="170" t="s">
        <v>75</v>
      </c>
      <c r="B26" s="141"/>
      <c r="C26" s="141"/>
      <c r="D26" s="141"/>
      <c r="E26" s="141"/>
      <c r="F26" s="141"/>
      <c r="G26" s="141"/>
      <c r="H26" s="70">
        <f>SUM(H20:H25)</f>
        <v>0</v>
      </c>
    </row>
    <row r="27" spans="1:9">
      <c r="A27" s="227" t="s">
        <v>136</v>
      </c>
      <c r="B27" s="227"/>
      <c r="C27" s="227"/>
      <c r="D27" s="227"/>
      <c r="E27" s="227"/>
      <c r="F27" s="227"/>
      <c r="G27" s="227"/>
      <c r="H27" s="227"/>
    </row>
    <row r="28" spans="1:9">
      <c r="A28" s="141" t="s">
        <v>145</v>
      </c>
      <c r="B28" s="141"/>
      <c r="C28" s="141"/>
      <c r="D28" s="141"/>
      <c r="E28" s="141"/>
      <c r="F28" s="141"/>
      <c r="G28" s="141"/>
      <c r="H28" s="74">
        <v>32000</v>
      </c>
    </row>
    <row r="29" spans="1:9">
      <c r="A29" s="141"/>
      <c r="B29" s="141"/>
      <c r="C29" s="141"/>
      <c r="D29" s="141"/>
      <c r="E29" s="141"/>
      <c r="F29" s="141"/>
      <c r="G29" s="141"/>
      <c r="H29" s="74"/>
    </row>
    <row r="30" spans="1:9">
      <c r="A30" s="141" t="s">
        <v>75</v>
      </c>
      <c r="B30" s="141"/>
      <c r="C30" s="141"/>
      <c r="D30" s="141"/>
      <c r="E30" s="141"/>
      <c r="F30" s="141"/>
      <c r="G30" s="141"/>
      <c r="H30" s="74">
        <f>SUM(H28:H29)</f>
        <v>32000</v>
      </c>
    </row>
    <row r="31" spans="1:9" ht="14.25" customHeight="1">
      <c r="A31" s="207" t="s">
        <v>90</v>
      </c>
      <c r="B31" s="207"/>
      <c r="C31" s="207"/>
      <c r="D31" s="207"/>
      <c r="E31" s="207"/>
      <c r="F31" s="207"/>
      <c r="G31" s="207"/>
      <c r="H31" s="207"/>
    </row>
    <row r="32" spans="1:9" hidden="1">
      <c r="A32" s="170"/>
      <c r="B32" s="141"/>
      <c r="C32" s="141"/>
      <c r="D32" s="141"/>
      <c r="E32" s="141"/>
      <c r="F32" s="141"/>
      <c r="G32" s="141"/>
      <c r="H32" s="74"/>
    </row>
    <row r="33" spans="1:8">
      <c r="A33" s="170" t="s">
        <v>82</v>
      </c>
      <c r="B33" s="171"/>
      <c r="C33" s="141"/>
      <c r="D33" s="141"/>
      <c r="E33" s="141"/>
      <c r="F33" s="141"/>
      <c r="G33" s="141"/>
      <c r="H33" s="183">
        <f>43621.94+1955.69+17601.19</f>
        <v>63178.820000000007</v>
      </c>
    </row>
    <row r="34" spans="1:8">
      <c r="A34" s="141" t="s">
        <v>147</v>
      </c>
      <c r="B34" s="141"/>
      <c r="C34" s="141"/>
      <c r="D34" s="141"/>
      <c r="E34" s="141"/>
      <c r="F34" s="141"/>
      <c r="G34" s="141"/>
      <c r="H34" s="74">
        <v>0</v>
      </c>
    </row>
    <row r="35" spans="1:8">
      <c r="A35" s="141" t="s">
        <v>74</v>
      </c>
      <c r="B35" s="141"/>
      <c r="C35" s="141"/>
      <c r="D35" s="141"/>
      <c r="E35" s="141"/>
      <c r="F35" s="141"/>
      <c r="G35" s="141"/>
      <c r="H35" s="74">
        <f>SUM(H32:H34)</f>
        <v>63178.820000000007</v>
      </c>
    </row>
    <row r="36" spans="1:8">
      <c r="A36" s="207" t="s">
        <v>137</v>
      </c>
      <c r="B36" s="207"/>
      <c r="C36" s="207"/>
      <c r="D36" s="207"/>
      <c r="E36" s="207"/>
      <c r="F36" s="207"/>
      <c r="G36" s="207"/>
      <c r="H36" s="207"/>
    </row>
    <row r="37" spans="1:8" ht="14.25" customHeight="1">
      <c r="A37" s="141" t="s">
        <v>150</v>
      </c>
      <c r="B37" s="141"/>
      <c r="C37" s="141"/>
      <c r="D37" s="141"/>
      <c r="E37" s="141"/>
      <c r="F37" s="141"/>
      <c r="G37" s="141"/>
      <c r="H37" s="183">
        <v>1057899.3600000001</v>
      </c>
    </row>
    <row r="38" spans="1:8">
      <c r="A38" s="172" t="s">
        <v>102</v>
      </c>
      <c r="B38" s="141"/>
      <c r="C38" s="141"/>
      <c r="D38" s="141"/>
      <c r="E38" s="141"/>
      <c r="F38" s="141"/>
      <c r="G38" s="141"/>
      <c r="H38" s="183">
        <v>60230.82</v>
      </c>
    </row>
    <row r="39" spans="1:8">
      <c r="A39" s="141" t="s">
        <v>75</v>
      </c>
      <c r="B39" s="141"/>
      <c r="C39" s="141"/>
      <c r="D39" s="141"/>
      <c r="E39" s="141"/>
      <c r="F39" s="141"/>
      <c r="G39" s="141"/>
      <c r="H39" s="145">
        <f>SUM(H37:H38)</f>
        <v>1118130.1800000002</v>
      </c>
    </row>
    <row r="40" spans="1:8">
      <c r="A40" s="206" t="s">
        <v>138</v>
      </c>
      <c r="B40" s="206"/>
      <c r="C40" s="206"/>
      <c r="D40" s="206"/>
      <c r="E40" s="206"/>
      <c r="F40" s="206"/>
      <c r="G40" s="206"/>
      <c r="H40" s="206"/>
    </row>
    <row r="41" spans="1:8">
      <c r="A41" s="81" t="s">
        <v>69</v>
      </c>
      <c r="B41" s="141"/>
      <c r="C41" s="141"/>
      <c r="D41" s="141"/>
      <c r="E41" s="141"/>
      <c r="F41" s="141"/>
      <c r="G41" s="141"/>
      <c r="H41" s="183">
        <v>56500</v>
      </c>
    </row>
    <row r="42" spans="1:8">
      <c r="A42" s="141" t="s">
        <v>70</v>
      </c>
      <c r="B42" s="141"/>
      <c r="C42" s="141"/>
      <c r="D42" s="141"/>
      <c r="E42" s="141"/>
      <c r="F42" s="141"/>
      <c r="G42" s="141"/>
      <c r="H42" s="183">
        <v>19610</v>
      </c>
    </row>
    <row r="43" spans="1:8">
      <c r="A43" s="141" t="s">
        <v>153</v>
      </c>
      <c r="B43" s="141"/>
      <c r="C43" s="141"/>
      <c r="D43" s="141"/>
      <c r="E43" s="141"/>
      <c r="F43" s="141"/>
      <c r="G43" s="141"/>
      <c r="H43" s="74">
        <v>55000</v>
      </c>
    </row>
    <row r="44" spans="1:8">
      <c r="A44" s="141" t="s">
        <v>149</v>
      </c>
      <c r="B44" s="141"/>
      <c r="C44" s="141"/>
      <c r="D44" s="141"/>
      <c r="E44" s="141"/>
      <c r="F44" s="141"/>
      <c r="G44" s="141"/>
      <c r="H44" s="183">
        <v>51490</v>
      </c>
    </row>
    <row r="45" spans="1:8">
      <c r="A45" s="184" t="s">
        <v>148</v>
      </c>
      <c r="B45" s="141"/>
      <c r="C45" s="141"/>
      <c r="D45" s="141"/>
      <c r="E45" s="141"/>
      <c r="F45" s="141"/>
      <c r="G45" s="141"/>
      <c r="H45" s="183">
        <v>180000</v>
      </c>
    </row>
    <row r="46" spans="1:8">
      <c r="A46" s="141"/>
      <c r="B46" s="141"/>
      <c r="C46" s="141"/>
      <c r="D46" s="141"/>
      <c r="E46" s="141"/>
      <c r="F46" s="141"/>
      <c r="G46" s="141"/>
      <c r="H46" s="70">
        <f>SUM(H41:H45)</f>
        <v>362600</v>
      </c>
    </row>
    <row r="47" spans="1:8">
      <c r="A47" s="206" t="s">
        <v>139</v>
      </c>
      <c r="B47" s="206"/>
      <c r="C47" s="206"/>
      <c r="D47" s="206"/>
      <c r="E47" s="206"/>
      <c r="F47" s="206"/>
      <c r="G47" s="206"/>
      <c r="H47" s="206"/>
    </row>
    <row r="48" spans="1:8">
      <c r="A48" s="141" t="s">
        <v>71</v>
      </c>
      <c r="B48" s="141"/>
      <c r="C48" s="141"/>
      <c r="D48" s="141"/>
      <c r="E48" s="141"/>
      <c r="F48" s="141"/>
      <c r="G48" s="141"/>
      <c r="H48" s="74">
        <v>139785.35999999999</v>
      </c>
    </row>
    <row r="49" spans="1:11">
      <c r="A49" s="141" t="s">
        <v>121</v>
      </c>
      <c r="B49" s="141"/>
      <c r="C49" s="141"/>
      <c r="D49" s="141"/>
      <c r="E49" s="141"/>
      <c r="F49" s="141"/>
      <c r="G49" s="141"/>
      <c r="H49" s="183">
        <v>30000</v>
      </c>
    </row>
    <row r="50" spans="1:11">
      <c r="A50" s="141"/>
      <c r="B50" s="141"/>
      <c r="C50" s="141"/>
      <c r="D50" s="141"/>
      <c r="E50" s="141"/>
      <c r="F50" s="141"/>
      <c r="G50" s="141"/>
      <c r="H50" s="74"/>
    </row>
    <row r="51" spans="1:11">
      <c r="A51" s="141" t="s">
        <v>74</v>
      </c>
      <c r="B51" s="141"/>
      <c r="C51" s="141"/>
      <c r="D51" s="141"/>
      <c r="E51" s="141"/>
      <c r="F51" s="141"/>
      <c r="G51" s="141"/>
      <c r="H51" s="173">
        <f>SUM(H48:H50)</f>
        <v>169785.36</v>
      </c>
      <c r="K51" s="7"/>
    </row>
    <row r="52" spans="1:11" s="6" customFormat="1">
      <c r="A52" s="208" t="s">
        <v>140</v>
      </c>
      <c r="B52" s="209"/>
      <c r="C52" s="209"/>
      <c r="D52" s="209"/>
      <c r="E52" s="209"/>
      <c r="F52" s="209"/>
      <c r="G52" s="209"/>
      <c r="H52" s="210"/>
    </row>
    <row r="53" spans="1:11" s="6" customFormat="1">
      <c r="A53" s="81" t="s">
        <v>123</v>
      </c>
      <c r="B53" s="81"/>
      <c r="C53" s="81"/>
      <c r="D53" s="81"/>
      <c r="E53" s="81"/>
      <c r="F53" s="81"/>
      <c r="G53" s="81"/>
      <c r="H53" s="185">
        <v>23006</v>
      </c>
      <c r="I53" s="60"/>
    </row>
    <row r="54" spans="1:11" s="6" customFormat="1">
      <c r="A54" s="81" t="s">
        <v>75</v>
      </c>
      <c r="B54" s="81"/>
      <c r="C54" s="81"/>
      <c r="D54" s="81"/>
      <c r="E54" s="81"/>
      <c r="F54" s="81"/>
      <c r="G54" s="81"/>
      <c r="H54" s="70">
        <f>SUM(H53)</f>
        <v>23006</v>
      </c>
    </row>
    <row r="55" spans="1:11" s="6" customFormat="1">
      <c r="A55" s="206" t="s">
        <v>141</v>
      </c>
      <c r="B55" s="206"/>
      <c r="C55" s="206"/>
      <c r="D55" s="206"/>
      <c r="E55" s="206"/>
      <c r="F55" s="206"/>
      <c r="G55" s="206"/>
      <c r="H55" s="206"/>
    </row>
    <row r="56" spans="1:11" s="6" customFormat="1">
      <c r="A56" s="81"/>
      <c r="B56" s="81"/>
      <c r="C56" s="81"/>
      <c r="D56" s="81"/>
      <c r="E56" s="81"/>
      <c r="F56" s="81"/>
      <c r="G56" s="81"/>
      <c r="H56" s="70"/>
    </row>
    <row r="57" spans="1:11" s="6" customFormat="1">
      <c r="A57" s="81"/>
      <c r="B57" s="81"/>
      <c r="C57" s="81"/>
      <c r="D57" s="81"/>
      <c r="E57" s="81"/>
      <c r="F57" s="81"/>
      <c r="G57" s="81"/>
      <c r="H57" s="70"/>
    </row>
    <row r="58" spans="1:11" s="6" customFormat="1">
      <c r="A58" s="81"/>
      <c r="B58" s="81"/>
      <c r="C58" s="81"/>
      <c r="D58" s="81"/>
      <c r="E58" s="81"/>
      <c r="F58" s="81"/>
      <c r="G58" s="81"/>
      <c r="H58" s="70">
        <v>0</v>
      </c>
    </row>
    <row r="59" spans="1:11" s="6" customFormat="1" ht="21" customHeight="1">
      <c r="A59" s="81" t="s">
        <v>76</v>
      </c>
      <c r="B59" s="81"/>
      <c r="C59" s="81"/>
      <c r="D59" s="81"/>
      <c r="E59" s="81"/>
      <c r="F59" s="81"/>
      <c r="G59" s="81"/>
      <c r="H59" s="70">
        <f>SUM(H56:H58)</f>
        <v>0</v>
      </c>
      <c r="I59" s="60"/>
    </row>
    <row r="60" spans="1:11" s="6" customFormat="1" ht="18" customHeight="1">
      <c r="A60" s="208"/>
      <c r="B60" s="209"/>
      <c r="C60" s="209"/>
      <c r="D60" s="209"/>
      <c r="E60" s="209"/>
      <c r="F60" s="209"/>
      <c r="G60" s="209"/>
      <c r="H60" s="210"/>
    </row>
    <row r="61" spans="1:11" s="6" customFormat="1" ht="23.25" hidden="1" customHeight="1">
      <c r="A61" s="82"/>
      <c r="B61" s="83"/>
      <c r="C61" s="83"/>
      <c r="D61" s="83"/>
      <c r="E61" s="83"/>
      <c r="F61" s="83"/>
      <c r="G61" s="83"/>
      <c r="H61" s="162">
        <v>0</v>
      </c>
    </row>
    <row r="62" spans="1:11" s="6" customFormat="1" ht="20.25" hidden="1" customHeight="1">
      <c r="A62" s="163"/>
      <c r="B62" s="164"/>
      <c r="C62" s="164"/>
      <c r="D62" s="164"/>
      <c r="E62" s="164"/>
      <c r="F62" s="164"/>
      <c r="G62" s="164"/>
      <c r="H62" s="165">
        <v>0</v>
      </c>
    </row>
    <row r="63" spans="1:11" s="6" customFormat="1" ht="18" hidden="1" customHeight="1">
      <c r="A63" s="166"/>
      <c r="B63" s="167"/>
      <c r="C63" s="167"/>
      <c r="D63" s="167"/>
      <c r="E63" s="167"/>
      <c r="F63" s="167"/>
      <c r="G63" s="167"/>
      <c r="H63" s="162">
        <f>H61+H62</f>
        <v>0</v>
      </c>
    </row>
    <row r="64" spans="1:11" s="6" customFormat="1" ht="18" hidden="1" customHeight="1">
      <c r="A64" s="219" t="s">
        <v>84</v>
      </c>
      <c r="B64" s="220"/>
      <c r="C64" s="220"/>
      <c r="D64" s="220"/>
      <c r="E64" s="220"/>
      <c r="F64" s="220"/>
      <c r="G64" s="220"/>
      <c r="H64" s="168">
        <f>H59</f>
        <v>0</v>
      </c>
    </row>
    <row r="65" spans="1:11" s="6" customFormat="1" ht="18" customHeight="1">
      <c r="A65" s="222"/>
      <c r="B65" s="222"/>
      <c r="C65" s="222"/>
      <c r="D65" s="222"/>
      <c r="E65" s="222"/>
      <c r="F65" s="222"/>
      <c r="G65" s="222"/>
      <c r="H65" s="222"/>
    </row>
    <row r="66" spans="1:11" s="6" customFormat="1" ht="86.25" hidden="1" customHeight="1">
      <c r="A66" s="223"/>
      <c r="B66" s="223"/>
      <c r="C66" s="223"/>
      <c r="D66" s="223"/>
      <c r="E66" s="223"/>
      <c r="F66" s="223"/>
      <c r="G66" s="223"/>
      <c r="H66" s="223"/>
    </row>
    <row r="67" spans="1:11" s="6" customFormat="1" ht="18" customHeight="1">
      <c r="A67" s="221" t="s">
        <v>86</v>
      </c>
      <c r="B67" s="221"/>
      <c r="C67" s="221"/>
      <c r="D67" s="221"/>
      <c r="E67" s="221"/>
      <c r="F67" s="221"/>
      <c r="G67" s="221"/>
      <c r="H67" s="169"/>
    </row>
    <row r="68" spans="1:11" s="6" customFormat="1" ht="26.25" customHeight="1">
      <c r="A68" s="229"/>
      <c r="B68" s="230"/>
      <c r="C68" s="230"/>
      <c r="D68" s="230"/>
      <c r="E68" s="230"/>
      <c r="F68" s="230"/>
      <c r="G68" s="231"/>
      <c r="H68" s="74"/>
    </row>
    <row r="69" spans="1:11" s="6" customFormat="1" ht="18" customHeight="1">
      <c r="A69" s="131" t="s">
        <v>75</v>
      </c>
      <c r="B69" s="81"/>
      <c r="C69" s="81"/>
      <c r="D69" s="81"/>
      <c r="E69" s="81"/>
      <c r="F69" s="81"/>
      <c r="G69" s="81"/>
      <c r="H69" s="70">
        <f>SUM(H68:H68)</f>
        <v>0</v>
      </c>
    </row>
    <row r="70" spans="1:11" s="6" customFormat="1" ht="18" customHeight="1" thickBot="1">
      <c r="A70" s="132"/>
      <c r="B70" s="132"/>
      <c r="C70" s="132"/>
      <c r="D70" s="132"/>
      <c r="E70" s="132"/>
      <c r="F70" s="132"/>
      <c r="G70" s="132"/>
      <c r="H70" s="133"/>
    </row>
    <row r="71" spans="1:11" s="6" customFormat="1" ht="18" customHeight="1" thickBot="1">
      <c r="A71" s="202" t="s">
        <v>85</v>
      </c>
      <c r="B71" s="203"/>
      <c r="C71" s="203"/>
      <c r="D71" s="203"/>
      <c r="E71" s="203"/>
      <c r="F71" s="203"/>
      <c r="G71" s="203"/>
      <c r="H71" s="134">
        <f>H69</f>
        <v>0</v>
      </c>
    </row>
    <row r="72" spans="1:11" s="6" customFormat="1" ht="18" customHeight="1" thickBot="1">
      <c r="A72" s="214" t="s">
        <v>91</v>
      </c>
      <c r="B72" s="215"/>
      <c r="C72" s="215"/>
      <c r="D72" s="215"/>
      <c r="E72" s="215"/>
      <c r="F72" s="215"/>
      <c r="G72" s="216"/>
      <c r="H72" s="134">
        <v>27666.48</v>
      </c>
    </row>
    <row r="73" spans="1:11" s="6" customFormat="1" ht="18" customHeight="1" thickBot="1">
      <c r="A73" s="214" t="s">
        <v>96</v>
      </c>
      <c r="B73" s="215"/>
      <c r="C73" s="215"/>
      <c r="D73" s="215"/>
      <c r="E73" s="215"/>
      <c r="F73" s="215"/>
      <c r="G73" s="216"/>
      <c r="H73" s="134">
        <v>1800000</v>
      </c>
    </row>
    <row r="74" spans="1:11" ht="18">
      <c r="A74" s="202" t="s">
        <v>92</v>
      </c>
      <c r="B74" s="203"/>
      <c r="C74" s="203"/>
      <c r="D74" s="203"/>
      <c r="E74" s="203"/>
      <c r="F74" s="203"/>
      <c r="G74" s="203"/>
      <c r="H74" s="134">
        <f>H30+H39+H46+H51+H54+H35+H18+H26</f>
        <v>2098234.3600000003</v>
      </c>
      <c r="J74" s="7"/>
      <c r="K74" s="146"/>
    </row>
    <row r="75" spans="1:11" ht="18">
      <c r="A75" s="211" t="s">
        <v>126</v>
      </c>
      <c r="B75" s="212"/>
      <c r="C75" s="212"/>
      <c r="D75" s="212"/>
      <c r="E75" s="212"/>
      <c r="F75" s="212"/>
      <c r="G75" s="213"/>
      <c r="H75" s="135">
        <f>H72+H74</f>
        <v>2125900.8400000003</v>
      </c>
      <c r="I75" s="130"/>
      <c r="J75" s="192"/>
      <c r="K75" s="192"/>
    </row>
    <row r="76" spans="1:11" ht="18">
      <c r="A76" s="211" t="s">
        <v>97</v>
      </c>
      <c r="B76" s="212"/>
      <c r="C76" s="212"/>
      <c r="D76" s="212"/>
      <c r="E76" s="212"/>
      <c r="F76" s="212"/>
      <c r="G76" s="213"/>
      <c r="H76" s="136">
        <f>H73+H71</f>
        <v>1800000</v>
      </c>
      <c r="J76" s="146"/>
    </row>
    <row r="77" spans="1:11" ht="20.25" customHeight="1" thickBot="1">
      <c r="A77" s="217" t="s">
        <v>87</v>
      </c>
      <c r="B77" s="218"/>
      <c r="C77" s="218"/>
      <c r="D77" s="218"/>
      <c r="E77" s="218"/>
      <c r="F77" s="218"/>
      <c r="G77" s="218"/>
      <c r="H77" s="137">
        <f>H74+H71</f>
        <v>2098234.3600000003</v>
      </c>
      <c r="J77" s="7"/>
    </row>
    <row r="78" spans="1:11" ht="18" hidden="1">
      <c r="A78" s="204" t="s">
        <v>17</v>
      </c>
      <c r="B78" s="205"/>
      <c r="C78" s="205"/>
      <c r="D78" s="205"/>
      <c r="E78" s="205"/>
      <c r="F78" s="205"/>
      <c r="G78" s="205"/>
      <c r="H78" s="138">
        <f>H63</f>
        <v>0</v>
      </c>
      <c r="J78" s="7"/>
    </row>
    <row r="79" spans="1:11" ht="18" hidden="1">
      <c r="A79" s="139"/>
      <c r="B79" s="139"/>
      <c r="C79" s="139"/>
      <c r="D79" s="139"/>
      <c r="E79" s="139"/>
      <c r="F79" s="139"/>
      <c r="G79" s="139"/>
      <c r="H79" s="140"/>
      <c r="J79" s="7"/>
    </row>
    <row r="80" spans="1:11" ht="18" hidden="1">
      <c r="A80" s="139"/>
      <c r="B80" s="139"/>
      <c r="C80" s="139"/>
      <c r="D80" s="139"/>
      <c r="E80" s="139"/>
      <c r="F80" s="139"/>
      <c r="G80" s="139"/>
      <c r="H80" s="140"/>
      <c r="J80" s="7"/>
    </row>
    <row r="81" spans="1:11" ht="18" hidden="1">
      <c r="A81" s="139"/>
      <c r="B81" s="139"/>
      <c r="C81" s="139"/>
      <c r="D81" s="139"/>
      <c r="E81" s="139"/>
      <c r="F81" s="139"/>
      <c r="G81" s="139"/>
      <c r="H81" s="140"/>
      <c r="J81" s="7"/>
    </row>
    <row r="82" spans="1:11" ht="14.25" customHeight="1">
      <c r="A82" s="141"/>
      <c r="B82" s="141"/>
      <c r="C82" s="141"/>
      <c r="D82" s="141"/>
      <c r="E82" s="141"/>
      <c r="F82" s="141"/>
      <c r="G82" s="141"/>
      <c r="H82" s="141"/>
    </row>
    <row r="83" spans="1:11" ht="18">
      <c r="A83" s="197" t="s">
        <v>10</v>
      </c>
      <c r="B83" s="198"/>
      <c r="C83" s="198"/>
      <c r="D83" s="198"/>
      <c r="E83" s="198"/>
      <c r="F83" s="198"/>
      <c r="G83" s="198"/>
      <c r="H83" s="199"/>
    </row>
    <row r="84" spans="1:11" ht="18">
      <c r="A84" s="142" t="s">
        <v>12</v>
      </c>
      <c r="B84" s="143"/>
      <c r="C84" s="143"/>
      <c r="D84" s="143"/>
      <c r="E84" s="143"/>
      <c r="F84" s="143"/>
      <c r="G84" s="143"/>
      <c r="H84" s="144">
        <v>3155289.5402832869</v>
      </c>
    </row>
    <row r="85" spans="1:11">
      <c r="A85" s="82" t="s">
        <v>135</v>
      </c>
      <c r="B85" s="83"/>
      <c r="C85" s="83"/>
      <c r="D85" s="83"/>
      <c r="E85" s="83"/>
      <c r="F85" s="83"/>
      <c r="G85" s="83"/>
      <c r="H85" s="145">
        <f>Planilla!G32</f>
        <v>3136024.996325769</v>
      </c>
    </row>
    <row r="86" spans="1:11">
      <c r="A86" s="79" t="s">
        <v>154</v>
      </c>
      <c r="B86" s="80"/>
      <c r="C86" s="80"/>
      <c r="D86" s="80"/>
      <c r="E86" s="80"/>
      <c r="F86" s="80"/>
      <c r="G86" s="80"/>
      <c r="H86" s="69">
        <f>-(H77)</f>
        <v>-2098234.3600000003</v>
      </c>
    </row>
    <row r="87" spans="1:11">
      <c r="A87" s="79" t="s">
        <v>88</v>
      </c>
      <c r="B87" s="80"/>
      <c r="C87" s="80"/>
      <c r="D87" s="80"/>
      <c r="E87" s="80"/>
      <c r="F87" s="80"/>
      <c r="G87" s="80"/>
      <c r="H87" s="69">
        <f>-H64</f>
        <v>0</v>
      </c>
      <c r="K87" s="6"/>
    </row>
    <row r="88" spans="1:11">
      <c r="A88" s="79" t="s">
        <v>73</v>
      </c>
      <c r="B88" s="80" t="s">
        <v>118</v>
      </c>
      <c r="C88" s="80"/>
      <c r="D88" s="80"/>
      <c r="E88" s="80"/>
      <c r="F88" s="80"/>
      <c r="G88" s="80"/>
      <c r="H88" s="125">
        <v>115393.04</v>
      </c>
    </row>
    <row r="89" spans="1:11">
      <c r="A89" s="79" t="s">
        <v>72</v>
      </c>
      <c r="B89" s="80"/>
      <c r="C89" s="80"/>
      <c r="D89" s="80"/>
      <c r="E89" s="80"/>
      <c r="F89" s="80"/>
      <c r="G89" s="80"/>
      <c r="H89" s="125">
        <v>36320.800000000003</v>
      </c>
      <c r="I89" s="146"/>
    </row>
    <row r="90" spans="1:11">
      <c r="A90" s="12" t="s">
        <v>124</v>
      </c>
      <c r="B90" s="84"/>
      <c r="C90" s="4"/>
      <c r="D90" s="4"/>
      <c r="E90" s="4"/>
      <c r="F90" s="4"/>
      <c r="G90" s="4"/>
      <c r="H90" s="99">
        <v>0</v>
      </c>
    </row>
    <row r="91" spans="1:11" ht="18">
      <c r="A91" s="22" t="s">
        <v>11</v>
      </c>
      <c r="B91" s="23"/>
      <c r="C91" s="23"/>
      <c r="D91" s="23"/>
      <c r="E91" s="23"/>
      <c r="F91" s="23"/>
      <c r="G91" s="23"/>
      <c r="H91" s="85">
        <f>SUM(H84:H90)</f>
        <v>4344794.016609055</v>
      </c>
    </row>
    <row r="92" spans="1:11" ht="15" thickBot="1"/>
    <row r="93" spans="1:11" ht="16.2" thickBot="1">
      <c r="A93" s="194" t="s">
        <v>101</v>
      </c>
      <c r="B93" s="195"/>
      <c r="C93" s="195"/>
      <c r="D93" s="195"/>
      <c r="E93" s="195"/>
      <c r="F93" s="195"/>
      <c r="G93" s="195"/>
      <c r="H93" s="196"/>
    </row>
    <row r="94" spans="1:11" ht="15.6">
      <c r="A94" s="88" t="s">
        <v>12</v>
      </c>
      <c r="B94" s="88"/>
      <c r="C94" s="88"/>
      <c r="D94" s="88"/>
      <c r="E94" s="88"/>
      <c r="F94" s="88"/>
      <c r="G94" s="88"/>
      <c r="H94" s="89">
        <v>0</v>
      </c>
    </row>
    <row r="95" spans="1:11">
      <c r="A95" s="61" t="s">
        <v>125</v>
      </c>
      <c r="B95" s="92"/>
      <c r="C95" s="4"/>
      <c r="D95" s="61"/>
      <c r="E95" s="61"/>
      <c r="F95" s="61"/>
      <c r="G95" s="61"/>
      <c r="H95" s="129"/>
    </row>
    <row r="96" spans="1:11">
      <c r="A96" s="61"/>
      <c r="B96" s="98"/>
      <c r="C96" s="61"/>
      <c r="D96" s="61"/>
      <c r="E96" s="61"/>
      <c r="F96" s="61"/>
      <c r="G96" s="61"/>
      <c r="H96" s="21"/>
    </row>
    <row r="97" spans="1:8">
      <c r="A97" s="61"/>
      <c r="B97" s="61"/>
      <c r="C97" s="61"/>
      <c r="D97" s="61"/>
      <c r="E97" s="61"/>
      <c r="F97" s="61"/>
      <c r="G97" s="61"/>
      <c r="H97" s="21"/>
    </row>
    <row r="98" spans="1:8">
      <c r="A98" s="86" t="s">
        <v>11</v>
      </c>
      <c r="B98" s="86"/>
      <c r="C98" s="86"/>
      <c r="D98" s="86"/>
      <c r="E98" s="86"/>
      <c r="F98" s="86"/>
      <c r="G98" s="86"/>
      <c r="H98" s="87">
        <f>SUM(H94:H97)</f>
        <v>0</v>
      </c>
    </row>
    <row r="101" spans="1:8" hidden="1">
      <c r="A101" s="193"/>
      <c r="B101" s="193"/>
      <c r="C101" s="193"/>
      <c r="D101" s="193"/>
      <c r="E101" s="193"/>
      <c r="F101" s="193"/>
      <c r="G101" s="193"/>
      <c r="H101" s="193"/>
    </row>
    <row r="102" spans="1:8" hidden="1">
      <c r="A102" s="193"/>
      <c r="B102" s="193"/>
      <c r="C102" s="193"/>
      <c r="D102" s="193"/>
      <c r="E102" s="193"/>
      <c r="F102" s="193"/>
      <c r="G102" s="193"/>
      <c r="H102" s="193"/>
    </row>
    <row r="103" spans="1:8" hidden="1">
      <c r="A103" s="193"/>
      <c r="B103" s="193"/>
      <c r="C103" s="193"/>
      <c r="D103" s="193"/>
      <c r="E103" s="193"/>
      <c r="F103" s="193"/>
      <c r="G103" s="193"/>
      <c r="H103" s="193"/>
    </row>
    <row r="104" spans="1:8" hidden="1">
      <c r="A104" s="193"/>
      <c r="B104" s="193"/>
      <c r="C104" s="193"/>
      <c r="D104" s="193"/>
      <c r="E104" s="193"/>
      <c r="F104" s="193"/>
      <c r="G104" s="193"/>
      <c r="H104" s="193"/>
    </row>
  </sheetData>
  <mergeCells count="29">
    <mergeCell ref="D2:H2"/>
    <mergeCell ref="A31:H31"/>
    <mergeCell ref="A73:G73"/>
    <mergeCell ref="A27:H27"/>
    <mergeCell ref="A19:H19"/>
    <mergeCell ref="A68:G68"/>
    <mergeCell ref="A12:H12"/>
    <mergeCell ref="A75:G75"/>
    <mergeCell ref="A77:G77"/>
    <mergeCell ref="A64:G64"/>
    <mergeCell ref="A71:G71"/>
    <mergeCell ref="A67:G67"/>
    <mergeCell ref="A65:H66"/>
    <mergeCell ref="J75:K75"/>
    <mergeCell ref="A101:H104"/>
    <mergeCell ref="A93:H93"/>
    <mergeCell ref="A83:H83"/>
    <mergeCell ref="E3:H3"/>
    <mergeCell ref="A74:G74"/>
    <mergeCell ref="A78:G78"/>
    <mergeCell ref="A14:H14"/>
    <mergeCell ref="A36:H36"/>
    <mergeCell ref="A40:H40"/>
    <mergeCell ref="A47:H47"/>
    <mergeCell ref="A52:H52"/>
    <mergeCell ref="A55:H55"/>
    <mergeCell ref="A60:H60"/>
    <mergeCell ref="A76:G76"/>
    <mergeCell ref="A72:G72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</cp:lastModifiedBy>
  <cp:lastPrinted>2025-07-02T18:19:51Z</cp:lastPrinted>
  <dcterms:created xsi:type="dcterms:W3CDTF">2021-10-25T13:53:39Z</dcterms:created>
  <dcterms:modified xsi:type="dcterms:W3CDTF">2025-07-25T19:02:15Z</dcterms:modified>
</cp:coreProperties>
</file>