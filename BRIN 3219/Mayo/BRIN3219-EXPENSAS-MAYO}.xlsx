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Sistema\Desktop\rc-consorcio2025\BRIN 3219\Mayo\"/>
    </mc:Choice>
  </mc:AlternateContent>
  <xr:revisionPtr revIDLastSave="0" documentId="13_ncr:1_{BA8ABFD0-D8D1-40B2-993D-D6E21528664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illa" sheetId="1" r:id="rId1"/>
    <sheet name="EXTRAORDINARIAS" sheetId="28" r:id="rId2"/>
    <sheet name="RESUMEN" sheetId="27" r:id="rId3"/>
  </sheets>
  <definedNames>
    <definedName name="_xlnm.Print_Area" localSheetId="0">Planilla!$A$1:$N$38</definedName>
    <definedName name="_xlnm.Print_Area" localSheetId="2">RESUMEN!$A$1:$H$116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" i="1" l="1"/>
  <c r="H36" i="27"/>
  <c r="H99" i="27"/>
  <c r="F4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10" i="1"/>
  <c r="I9" i="1"/>
  <c r="G28" i="1"/>
  <c r="G17" i="1"/>
  <c r="G16" i="1"/>
  <c r="G20" i="1" l="1"/>
  <c r="G23" i="1" l="1"/>
  <c r="G22" i="1"/>
  <c r="G31" i="1"/>
  <c r="H52" i="27" l="1"/>
  <c r="M9" i="1" l="1"/>
  <c r="K10" i="1"/>
  <c r="K13" i="1"/>
  <c r="K17" i="1"/>
  <c r="K21" i="1"/>
  <c r="K25" i="1"/>
  <c r="K30" i="1"/>
  <c r="G24" i="1"/>
  <c r="G14" i="1"/>
  <c r="K29" i="1" l="1"/>
  <c r="K24" i="1"/>
  <c r="K20" i="1"/>
  <c r="K16" i="1"/>
  <c r="K12" i="1"/>
  <c r="K9" i="1"/>
  <c r="K27" i="1"/>
  <c r="K23" i="1"/>
  <c r="K19" i="1"/>
  <c r="K15" i="1"/>
  <c r="K11" i="1"/>
  <c r="K31" i="1"/>
  <c r="K26" i="1"/>
  <c r="K22" i="1"/>
  <c r="K18" i="1"/>
  <c r="K14" i="1"/>
  <c r="H29" i="27"/>
  <c r="G15" i="1" l="1"/>
  <c r="G13" i="1" l="1"/>
  <c r="B5" i="1"/>
  <c r="H77" i="27"/>
  <c r="G29" i="1" l="1"/>
  <c r="H21" i="27" l="1"/>
  <c r="G30" i="1" l="1"/>
  <c r="G25" i="1"/>
  <c r="H44" i="27" l="1"/>
  <c r="G26" i="1" l="1"/>
  <c r="F1" i="1" l="1"/>
  <c r="H38" i="27" l="1"/>
  <c r="H82" i="27" s="1"/>
  <c r="H33" i="27" l="1"/>
  <c r="H18" i="1" l="1"/>
  <c r="G10" i="1" l="1"/>
  <c r="H108" i="27" l="1"/>
  <c r="H60" i="27" l="1"/>
  <c r="E10" i="28" l="1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9" i="28"/>
  <c r="D32" i="28"/>
  <c r="B32" i="28"/>
  <c r="F27" i="28" l="1"/>
  <c r="G27" i="28" s="1"/>
  <c r="F19" i="28"/>
  <c r="G19" i="28"/>
  <c r="F14" i="28"/>
  <c r="G14" i="28" s="1"/>
  <c r="E34" i="28" s="1"/>
  <c r="E32" i="28"/>
  <c r="H79" i="27" l="1"/>
  <c r="H84" i="27" s="1"/>
  <c r="M10" i="1" l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 l="1"/>
  <c r="K32" i="1" l="1"/>
  <c r="J30" i="1"/>
  <c r="J23" i="1"/>
  <c r="H22" i="1"/>
  <c r="J20" i="1"/>
  <c r="J15" i="1"/>
  <c r="J14" i="1"/>
  <c r="J10" i="1"/>
  <c r="J11" i="1"/>
  <c r="J13" i="1"/>
  <c r="J16" i="1"/>
  <c r="J18" i="1"/>
  <c r="J19" i="1"/>
  <c r="J21" i="1"/>
  <c r="J24" i="1"/>
  <c r="J25" i="1"/>
  <c r="J26" i="1"/>
  <c r="J27" i="1"/>
  <c r="J28" i="1"/>
  <c r="J29" i="1"/>
  <c r="J31" i="1"/>
  <c r="J9" i="1"/>
  <c r="H10" i="1"/>
  <c r="H11" i="1"/>
  <c r="H12" i="1"/>
  <c r="H13" i="1"/>
  <c r="H16" i="1"/>
  <c r="H19" i="1"/>
  <c r="H21" i="1"/>
  <c r="H23" i="1"/>
  <c r="H24" i="1"/>
  <c r="H25" i="1"/>
  <c r="H26" i="1"/>
  <c r="H27" i="1"/>
  <c r="H28" i="1"/>
  <c r="H29" i="1"/>
  <c r="H31" i="1"/>
  <c r="H9" i="1"/>
  <c r="J12" i="1" l="1"/>
  <c r="H15" i="1"/>
  <c r="J22" i="1"/>
  <c r="H30" i="1"/>
  <c r="H20" i="1"/>
  <c r="H14" i="1"/>
  <c r="H65" i="27"/>
  <c r="H70" i="27" s="1"/>
  <c r="H97" i="27" s="1"/>
  <c r="H57" i="27"/>
  <c r="H85" i="27" s="1"/>
  <c r="H95" i="27" s="1"/>
  <c r="H83" i="27" l="1"/>
  <c r="F32" i="1"/>
  <c r="E32" i="1"/>
  <c r="B32" i="1"/>
  <c r="H69" i="27" l="1"/>
  <c r="H86" i="27" l="1"/>
  <c r="L11" i="1" l="1"/>
  <c r="N11" i="1" s="1"/>
  <c r="L15" i="1"/>
  <c r="L19" i="1"/>
  <c r="L23" i="1"/>
  <c r="L27" i="1"/>
  <c r="N27" i="1" s="1"/>
  <c r="L31" i="1"/>
  <c r="N31" i="1" s="1"/>
  <c r="L17" i="1"/>
  <c r="L21" i="1"/>
  <c r="L29" i="1"/>
  <c r="N29" i="1" s="1"/>
  <c r="L10" i="1"/>
  <c r="L18" i="1"/>
  <c r="L26" i="1"/>
  <c r="N26" i="1" s="1"/>
  <c r="L12" i="1"/>
  <c r="L16" i="1"/>
  <c r="L20" i="1"/>
  <c r="L24" i="1"/>
  <c r="L28" i="1"/>
  <c r="N28" i="1" s="1"/>
  <c r="L9" i="1"/>
  <c r="N9" i="1" s="1"/>
  <c r="L13" i="1"/>
  <c r="L25" i="1"/>
  <c r="N25" i="1" s="1"/>
  <c r="L14" i="1"/>
  <c r="L22" i="1"/>
  <c r="N22" i="1" s="1"/>
  <c r="L30" i="1"/>
  <c r="N30" i="1" s="1"/>
  <c r="L32" i="1" l="1"/>
  <c r="N18" i="1"/>
  <c r="N20" i="1"/>
  <c r="N19" i="1"/>
  <c r="N16" i="1"/>
  <c r="N15" i="1"/>
  <c r="N14" i="1"/>
  <c r="N13" i="1"/>
  <c r="N12" i="1"/>
  <c r="N10" i="1"/>
  <c r="N21" i="1" l="1"/>
  <c r="N24" i="1" l="1"/>
  <c r="N23" i="1"/>
  <c r="J17" i="1"/>
  <c r="J32" i="1" s="1"/>
  <c r="G32" i="1"/>
  <c r="H93" i="27" s="1"/>
  <c r="H101" i="27" s="1"/>
  <c r="H17" i="1"/>
  <c r="I32" i="1" l="1"/>
  <c r="N17" i="1"/>
  <c r="N32" i="1" s="1"/>
  <c r="H32" i="1"/>
</calcChain>
</file>

<file path=xl/sharedStrings.xml><?xml version="1.0" encoding="utf-8"?>
<sst xmlns="http://schemas.openxmlformats.org/spreadsheetml/2006/main" count="240" uniqueCount="163">
  <si>
    <t>U.F.</t>
  </si>
  <si>
    <t>PROPIETARIOS</t>
  </si>
  <si>
    <t>Porcentaje de Superficie</t>
  </si>
  <si>
    <t>PISO - DEPTO</t>
  </si>
  <si>
    <t>e-mail:</t>
  </si>
  <si>
    <t>LIQUIDACION DE EXPENSAS</t>
  </si>
  <si>
    <t>Cel.</t>
  </si>
  <si>
    <t>GASTOS ORDINARIOS</t>
  </si>
  <si>
    <t>TOTAL A PAGAR</t>
  </si>
  <si>
    <t>Administradora: CAROLINA CANCIANI</t>
  </si>
  <si>
    <t>ESTADO FINANCIERO</t>
  </si>
  <si>
    <t>Saldo al cierre</t>
  </si>
  <si>
    <t>Saldo anterior</t>
  </si>
  <si>
    <t>PAGO: EFECTIVO</t>
  </si>
  <si>
    <t>CONSORCIO: ADMINISTRACION DE CONSORCIOS RC</t>
  </si>
  <si>
    <t>GASTOS EXTR.</t>
  </si>
  <si>
    <t>SALDO ANTERIOR</t>
  </si>
  <si>
    <t>TOTAL GASTOS EXTRAORDINARIOS (B):</t>
  </si>
  <si>
    <t>C.U.I.T:</t>
  </si>
  <si>
    <t>Fabio Victor Hugo</t>
  </si>
  <si>
    <t>De Pascale Gabriel</t>
  </si>
  <si>
    <t>Citroni Mario</t>
  </si>
  <si>
    <t>Chitriangulo</t>
  </si>
  <si>
    <t xml:space="preserve">Noya Claudio </t>
  </si>
  <si>
    <t>Maceira Mariana</t>
  </si>
  <si>
    <t>Landeiras Luis</t>
  </si>
  <si>
    <t>Yañez alejandra</t>
  </si>
  <si>
    <t>Rivas Rodrigo</t>
  </si>
  <si>
    <t>Perez Quattrochi</t>
  </si>
  <si>
    <t>Spagna Vicente</t>
  </si>
  <si>
    <t>Sovran Delia</t>
  </si>
  <si>
    <t>Roura Juan</t>
  </si>
  <si>
    <t>Mandaguy Luis</t>
  </si>
  <si>
    <t>Pirolo Veronica</t>
  </si>
  <si>
    <t>Edgardo Nolli</t>
  </si>
  <si>
    <t>Alvarez Navarro J</t>
  </si>
  <si>
    <t>Elena Graciela</t>
  </si>
  <si>
    <t>Vazquez Alejandro</t>
  </si>
  <si>
    <t>Ciccia Horacio</t>
  </si>
  <si>
    <t>Szarko Patricia</t>
  </si>
  <si>
    <t>0-1</t>
  </si>
  <si>
    <t>0-2</t>
  </si>
  <si>
    <t>0-3</t>
  </si>
  <si>
    <t>1.4</t>
  </si>
  <si>
    <t>1.5</t>
  </si>
  <si>
    <t>1.6</t>
  </si>
  <si>
    <t>1.7</t>
  </si>
  <si>
    <t>2.8</t>
  </si>
  <si>
    <t>2.9</t>
  </si>
  <si>
    <t>2.10</t>
  </si>
  <si>
    <t>2.11</t>
  </si>
  <si>
    <t>3.12</t>
  </si>
  <si>
    <t>3.13</t>
  </si>
  <si>
    <t>3.14</t>
  </si>
  <si>
    <t>3.15</t>
  </si>
  <si>
    <t>4.16</t>
  </si>
  <si>
    <t>4.17</t>
  </si>
  <si>
    <t>4.18</t>
  </si>
  <si>
    <t>4.19</t>
  </si>
  <si>
    <t>5.20</t>
  </si>
  <si>
    <t>5.21</t>
  </si>
  <si>
    <t>5.22</t>
  </si>
  <si>
    <t>5.23</t>
  </si>
  <si>
    <t>SALDO ACTUAL</t>
  </si>
  <si>
    <t>DEUDA</t>
  </si>
  <si>
    <t>SALDO A FAVOR</t>
  </si>
  <si>
    <t>ministrobrin3219@gmail.com</t>
  </si>
  <si>
    <t>PERIODO:</t>
  </si>
  <si>
    <t>EXPENSAS</t>
  </si>
  <si>
    <t>Sueldo Sra Monica Forment</t>
  </si>
  <si>
    <t>AFIP NO SE PAGA HASTA RESOLVER LA SITUACION CUENTA</t>
  </si>
  <si>
    <t xml:space="preserve">Lema ascensores abono mantenimiento </t>
  </si>
  <si>
    <t>Empresa internet claro</t>
  </si>
  <si>
    <t>Honorarios administracion</t>
  </si>
  <si>
    <t>Ingreso por expensas alquiler Piso 6 UF 24</t>
  </si>
  <si>
    <t>Ingreso por alquiler Piso 6 UF 24</t>
  </si>
  <si>
    <t xml:space="preserve">TOTAL </t>
  </si>
  <si>
    <t>TOTAL</t>
  </si>
  <si>
    <t>TOTAL GASTOS LEGALES</t>
  </si>
  <si>
    <t>Leandro Espinola</t>
  </si>
  <si>
    <t>ADMINISTRADORA: CAROLINA CANCIANI</t>
  </si>
  <si>
    <t>DOMICILIO: MINISTRO BRIN 3219</t>
  </si>
  <si>
    <t>ORDINARIOS:</t>
  </si>
  <si>
    <t>EXTRAORDINARIOS:</t>
  </si>
  <si>
    <t>SUTHER / FATHERY</t>
  </si>
  <si>
    <t>Gastos Legales</t>
  </si>
  <si>
    <t>GASTOS LEGALES:</t>
  </si>
  <si>
    <t>TOTAL GASTOS EXTRAORDINARIOS:</t>
  </si>
  <si>
    <t>GASTOS EXTRAORDINARIOS</t>
  </si>
  <si>
    <t>TOTAL EGRESOS DE GAST ORD Y EXT</t>
  </si>
  <si>
    <t>Gastos legales</t>
  </si>
  <si>
    <t>Deducciones</t>
  </si>
  <si>
    <t xml:space="preserve">Plus antigüedad </t>
  </si>
  <si>
    <t xml:space="preserve">Plus retiro residuos </t>
  </si>
  <si>
    <t>2-CARGAS SOCIALES</t>
  </si>
  <si>
    <t>FONDO DE GASTOS ORDINARIOS</t>
  </si>
  <si>
    <t xml:space="preserve">TOTAL GASTOS ORDINARIOS 1,2,3,4,5,6,7 </t>
  </si>
  <si>
    <t xml:space="preserve">EXTRAORDINARIAS: </t>
  </si>
  <si>
    <t>EXPENSAS EXTRAORDINARIAS</t>
  </si>
  <si>
    <t>Piris Andrea</t>
  </si>
  <si>
    <t>FONDO DE GASTOS EXTRAORDINARIOS</t>
  </si>
  <si>
    <t>GASTOS EXTRAORDINARIOS + FONDO DE RESERVA EXT (A PRORRATEAR COMO EXTRAORD)</t>
  </si>
  <si>
    <t>PUNITORIOS</t>
  </si>
  <si>
    <t xml:space="preserve">MONTO RECAUDADO: </t>
  </si>
  <si>
    <t>PAGO</t>
  </si>
  <si>
    <t>CAJA DOLARES</t>
  </si>
  <si>
    <t xml:space="preserve">EDESUR </t>
  </si>
  <si>
    <t>Chitriangulo Matias/Pablo</t>
  </si>
  <si>
    <t>Vazquez Marcela / Alejandra</t>
  </si>
  <si>
    <t xml:space="preserve">Gasto Particular </t>
  </si>
  <si>
    <t>Daniel</t>
  </si>
  <si>
    <t>INQUILINOS</t>
  </si>
  <si>
    <t>Jose</t>
  </si>
  <si>
    <t>Gabriel</t>
  </si>
  <si>
    <t>Gonzalo</t>
  </si>
  <si>
    <t>Miriam</t>
  </si>
  <si>
    <t>Leonel</t>
  </si>
  <si>
    <t>Laura</t>
  </si>
  <si>
    <t>Corina</t>
  </si>
  <si>
    <t>Vanina</t>
  </si>
  <si>
    <t>Oscar</t>
  </si>
  <si>
    <t>Paula</t>
  </si>
  <si>
    <t>y expensas</t>
  </si>
  <si>
    <t>MP 1148</t>
  </si>
  <si>
    <t xml:space="preserve">Martinez Rafael </t>
  </si>
  <si>
    <t>Honorarios Sr Gustavo Padron - Contador</t>
  </si>
  <si>
    <t>Redondeo</t>
  </si>
  <si>
    <t xml:space="preserve">Seguro MERCANTIL ANDINA Poliza nro. 001167917 </t>
  </si>
  <si>
    <t>Punitorios mal cobrados</t>
  </si>
  <si>
    <t>Cambio a pesos</t>
  </si>
  <si>
    <t xml:space="preserve">GASTOS ORDINARIOS + FONDO DE RESERVA </t>
  </si>
  <si>
    <t>Daniel Exner</t>
  </si>
  <si>
    <r>
      <t xml:space="preserve">1- </t>
    </r>
    <r>
      <rPr>
        <b/>
        <sz val="12"/>
        <rFont val="Calibri"/>
        <family val="2"/>
        <scheme val="minor"/>
      </rPr>
      <t>SUELDO ENCARGADA</t>
    </r>
  </si>
  <si>
    <t>Claudia</t>
  </si>
  <si>
    <t>Noelia</t>
  </si>
  <si>
    <t>Legales</t>
  </si>
  <si>
    <t>SAC</t>
  </si>
  <si>
    <t xml:space="preserve">Redondeo </t>
  </si>
  <si>
    <t>Eliseo</t>
  </si>
  <si>
    <t>Asignacion remunerativa</t>
  </si>
  <si>
    <t>JPL - Articulo de limpiezas</t>
  </si>
  <si>
    <t>Ingreso por pago de Expensas - MARZO</t>
  </si>
  <si>
    <t>Diferencia mes anterior honorarios Sr Gustavo Padron - Contador</t>
  </si>
  <si>
    <t>HORAS EXTRAS FUMIGACION</t>
  </si>
  <si>
    <t xml:space="preserve">Ezequiel Sarro - contestacion apelacion piso 5 </t>
  </si>
  <si>
    <t>3-SERVICIOS COMUNES</t>
  </si>
  <si>
    <t xml:space="preserve">AYSA - Cuota 3 del plan de pago adeudado </t>
  </si>
  <si>
    <t>4- MANTENIMIENTO DE PARTES COMUNES</t>
  </si>
  <si>
    <t>5- GASTO DE ADMINISTRACION</t>
  </si>
  <si>
    <t>AYSA - Vto 1/4</t>
  </si>
  <si>
    <t>SE DEBE AYSA CON VTO 30/04</t>
  </si>
  <si>
    <t>6-SEGUROS OBLIGATORIOS</t>
  </si>
  <si>
    <t>7-GASTOS LEGALES</t>
  </si>
  <si>
    <t>Gabriela</t>
  </si>
  <si>
    <t>INTERES por MORA 3,7%</t>
  </si>
  <si>
    <t>GASTOS EXTR. ASCENSOR Y LIBROS</t>
  </si>
  <si>
    <t>Ezequiel</t>
  </si>
  <si>
    <t>Julio doartero</t>
  </si>
  <si>
    <t>MAYO</t>
  </si>
  <si>
    <t>Horas extra fumigacion - Marzo y MAYO</t>
  </si>
  <si>
    <t>Damato fumigaciones - MAYO</t>
  </si>
  <si>
    <t>Egresos por gastos mes - MAYO</t>
  </si>
  <si>
    <t>VTO: 16/05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</si>
</sst>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[$-F800]dddd\,\ mmmm\ dd\,\ yyyy"/>
    <numFmt numFmtId="166" formatCode="0.0"/>
    <numFmt numFmtId="167" formatCode="#,##0.0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Arial"/>
      <family val="2"/>
    </font>
    <font>
      <sz val="12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sz val="9"/>
      <color rgb="FF444746"/>
      <name val="Google Sans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4"/>
      <name val="Calibri"/>
      <family val="2"/>
      <scheme val="minor"/>
    </font>
    <font>
      <sz val="9"/>
      <color indexed="8"/>
      <name val="Arial"/>
      <family val="2"/>
    </font>
    <font>
      <sz val="9"/>
      <name val="Arial"/>
      <family val="2"/>
    </font>
    <font>
      <sz val="8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46">
    <xf numFmtId="0" fontId="0" fillId="0" borderId="0" xfId="0"/>
    <xf numFmtId="0" fontId="4" fillId="0" borderId="0" xfId="0" applyFont="1"/>
    <xf numFmtId="164" fontId="0" fillId="0" borderId="0" xfId="1" applyNumberFormat="1" applyFont="1"/>
    <xf numFmtId="0" fontId="0" fillId="0" borderId="2" xfId="0" applyBorder="1"/>
    <xf numFmtId="0" fontId="0" fillId="0" borderId="3" xfId="0" applyBorder="1"/>
    <xf numFmtId="0" fontId="7" fillId="0" borderId="0" xfId="0" applyFont="1"/>
    <xf numFmtId="0" fontId="0" fillId="2" borderId="0" xfId="0" applyFill="1"/>
    <xf numFmtId="44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/>
    <xf numFmtId="0" fontId="2" fillId="0" borderId="9" xfId="0" applyFont="1" applyBorder="1"/>
    <xf numFmtId="44" fontId="0" fillId="0" borderId="0" xfId="1" applyFont="1" applyBorder="1"/>
    <xf numFmtId="44" fontId="0" fillId="0" borderId="13" xfId="1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6" xfId="0" applyFont="1" applyFill="1" applyBorder="1"/>
    <xf numFmtId="44" fontId="0" fillId="0" borderId="1" xfId="1" applyFont="1" applyBorder="1"/>
    <xf numFmtId="0" fontId="6" fillId="2" borderId="4" xfId="0" applyFont="1" applyFill="1" applyBorder="1"/>
    <xf numFmtId="0" fontId="7" fillId="2" borderId="5" xfId="0" applyFont="1" applyFill="1" applyBorder="1"/>
    <xf numFmtId="164" fontId="0" fillId="0" borderId="13" xfId="1" applyNumberFormat="1" applyFont="1" applyBorder="1"/>
    <xf numFmtId="44" fontId="0" fillId="0" borderId="13" xfId="0" applyNumberFormat="1" applyBorder="1"/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44" fontId="0" fillId="0" borderId="0" xfId="1" applyFont="1" applyBorder="1" applyAlignment="1">
      <alignment horizontal="left"/>
    </xf>
    <xf numFmtId="0" fontId="10" fillId="0" borderId="6" xfId="0" applyFont="1" applyBorder="1"/>
    <xf numFmtId="0" fontId="10" fillId="0" borderId="1" xfId="0" applyFont="1" applyBorder="1"/>
    <xf numFmtId="0" fontId="10" fillId="0" borderId="28" xfId="0" applyFont="1" applyBorder="1"/>
    <xf numFmtId="0" fontId="10" fillId="2" borderId="1" xfId="0" applyFont="1" applyFill="1" applyBorder="1"/>
    <xf numFmtId="0" fontId="8" fillId="3" borderId="4" xfId="0" applyFont="1" applyFill="1" applyBorder="1" applyAlignment="1">
      <alignment horizontal="center"/>
    </xf>
    <xf numFmtId="166" fontId="12" fillId="0" borderId="1" xfId="0" applyNumberFormat="1" applyFont="1" applyBorder="1" applyAlignment="1">
      <alignment horizontal="center"/>
    </xf>
    <xf numFmtId="167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2" fillId="0" borderId="28" xfId="0" applyNumberFormat="1" applyFont="1" applyBorder="1" applyAlignment="1">
      <alignment horizontal="center"/>
    </xf>
    <xf numFmtId="1" fontId="12" fillId="2" borderId="1" xfId="0" applyNumberFormat="1" applyFont="1" applyFill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 vertical="center"/>
    </xf>
    <xf numFmtId="10" fontId="10" fillId="0" borderId="6" xfId="0" applyNumberFormat="1" applyFont="1" applyBorder="1"/>
    <xf numFmtId="10" fontId="10" fillId="0" borderId="8" xfId="0" applyNumberFormat="1" applyFont="1" applyBorder="1"/>
    <xf numFmtId="10" fontId="10" fillId="0" borderId="1" xfId="0" applyNumberFormat="1" applyFont="1" applyBorder="1"/>
    <xf numFmtId="10" fontId="10" fillId="2" borderId="1" xfId="0" applyNumberFormat="1" applyFont="1" applyFill="1" applyBorder="1"/>
    <xf numFmtId="10" fontId="11" fillId="0" borderId="1" xfId="0" applyNumberFormat="1" applyFont="1" applyBorder="1"/>
    <xf numFmtId="0" fontId="0" fillId="0" borderId="13" xfId="0" applyBorder="1" applyAlignment="1">
      <alignment horizontal="right"/>
    </xf>
    <xf numFmtId="0" fontId="0" fillId="0" borderId="1" xfId="0" applyBorder="1" applyAlignment="1">
      <alignment horizontal="right"/>
    </xf>
    <xf numFmtId="166" fontId="8" fillId="3" borderId="4" xfId="0" applyNumberFormat="1" applyFont="1" applyFill="1" applyBorder="1" applyAlignment="1">
      <alignment horizontal="center"/>
    </xf>
    <xf numFmtId="10" fontId="8" fillId="3" borderId="4" xfId="0" applyNumberFormat="1" applyFont="1" applyFill="1" applyBorder="1" applyAlignment="1">
      <alignment horizontal="center"/>
    </xf>
    <xf numFmtId="164" fontId="8" fillId="3" borderId="4" xfId="0" applyNumberFormat="1" applyFont="1" applyFill="1" applyBorder="1" applyAlignment="1">
      <alignment horizontal="center"/>
    </xf>
    <xf numFmtId="0" fontId="14" fillId="0" borderId="0" xfId="0" applyFont="1" applyAlignment="1">
      <alignment horizontal="left" vertical="center"/>
    </xf>
    <xf numFmtId="0" fontId="5" fillId="0" borderId="0" xfId="2" applyBorder="1" applyAlignment="1">
      <alignment horizontal="left"/>
    </xf>
    <xf numFmtId="0" fontId="15" fillId="0" borderId="17" xfId="0" applyFont="1" applyBorder="1"/>
    <xf numFmtId="0" fontId="16" fillId="0" borderId="17" xfId="0" applyFont="1" applyBorder="1"/>
    <xf numFmtId="0" fontId="17" fillId="0" borderId="0" xfId="0" applyFont="1"/>
    <xf numFmtId="44" fontId="0" fillId="2" borderId="0" xfId="0" applyNumberFormat="1" applyFill="1"/>
    <xf numFmtId="0" fontId="0" fillId="0" borderId="1" xfId="0" applyBorder="1"/>
    <xf numFmtId="0" fontId="19" fillId="0" borderId="17" xfId="0" applyFont="1" applyBorder="1" applyAlignment="1">
      <alignment vertical="center" wrapText="1"/>
    </xf>
    <xf numFmtId="0" fontId="15" fillId="0" borderId="0" xfId="0" applyFont="1"/>
    <xf numFmtId="44" fontId="15" fillId="0" borderId="0" xfId="1" applyFont="1" applyBorder="1" applyAlignment="1">
      <alignment horizontal="left"/>
    </xf>
    <xf numFmtId="0" fontId="20" fillId="0" borderId="1" xfId="0" applyFont="1" applyBorder="1"/>
    <xf numFmtId="1" fontId="13" fillId="0" borderId="1" xfId="0" quotePrefix="1" applyNumberFormat="1" applyFont="1" applyBorder="1" applyAlignment="1">
      <alignment horizontal="center" vertical="center"/>
    </xf>
    <xf numFmtId="44" fontId="18" fillId="0" borderId="0" xfId="1" applyFont="1" applyBorder="1" applyAlignment="1">
      <alignment horizontal="left"/>
    </xf>
    <xf numFmtId="164" fontId="0" fillId="2" borderId="13" xfId="1" applyNumberFormat="1" applyFont="1" applyFill="1" applyBorder="1"/>
    <xf numFmtId="44" fontId="21" fillId="0" borderId="13" xfId="1" applyFont="1" applyBorder="1"/>
    <xf numFmtId="44" fontId="22" fillId="2" borderId="1" xfId="1" applyFont="1" applyFill="1" applyBorder="1"/>
    <xf numFmtId="164" fontId="0" fillId="0" borderId="13" xfId="0" applyNumberFormat="1" applyBorder="1"/>
    <xf numFmtId="0" fontId="15" fillId="3" borderId="15" xfId="0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vertical="center"/>
    </xf>
    <xf numFmtId="44" fontId="21" fillId="2" borderId="1" xfId="1" applyFont="1" applyFill="1" applyBorder="1"/>
    <xf numFmtId="0" fontId="2" fillId="3" borderId="36" xfId="0" applyFont="1" applyFill="1" applyBorder="1" applyAlignment="1">
      <alignment horizontal="center" vertical="center" wrapText="1"/>
    </xf>
    <xf numFmtId="0" fontId="0" fillId="3" borderId="0" xfId="0" applyFill="1"/>
    <xf numFmtId="44" fontId="2" fillId="3" borderId="0" xfId="1" applyFont="1" applyFill="1"/>
    <xf numFmtId="0" fontId="23" fillId="3" borderId="0" xfId="0" applyFont="1" applyFill="1"/>
    <xf numFmtId="0" fontId="21" fillId="0" borderId="11" xfId="0" applyFont="1" applyBorder="1"/>
    <xf numFmtId="0" fontId="21" fillId="0" borderId="3" xfId="0" applyFont="1" applyBorder="1"/>
    <xf numFmtId="0" fontId="21" fillId="2" borderId="1" xfId="0" applyFont="1" applyFill="1" applyBorder="1"/>
    <xf numFmtId="0" fontId="21" fillId="0" borderId="4" xfId="0" applyFont="1" applyBorder="1"/>
    <xf numFmtId="0" fontId="21" fillId="0" borderId="5" xfId="0" applyFont="1" applyBorder="1"/>
    <xf numFmtId="16" fontId="0" fillId="0" borderId="3" xfId="0" applyNumberFormat="1" applyBorder="1"/>
    <xf numFmtId="8" fontId="6" fillId="2" borderId="1" xfId="1" applyNumberFormat="1" applyFont="1" applyFill="1" applyBorder="1"/>
    <xf numFmtId="0" fontId="0" fillId="6" borderId="1" xfId="0" applyFill="1" applyBorder="1"/>
    <xf numFmtId="44" fontId="0" fillId="6" borderId="1" xfId="1" applyFont="1" applyFill="1" applyBorder="1"/>
    <xf numFmtId="0" fontId="0" fillId="6" borderId="13" xfId="0" applyFill="1" applyBorder="1"/>
    <xf numFmtId="44" fontId="8" fillId="6" borderId="13" xfId="1" applyFont="1" applyFill="1" applyBorder="1"/>
    <xf numFmtId="17" fontId="6" fillId="3" borderId="5" xfId="0" applyNumberFormat="1" applyFont="1" applyFill="1" applyBorder="1"/>
    <xf numFmtId="164" fontId="2" fillId="3" borderId="4" xfId="0" applyNumberFormat="1" applyFont="1" applyFill="1" applyBorder="1" applyAlignment="1">
      <alignment horizontal="center"/>
    </xf>
    <xf numFmtId="6" fontId="0" fillId="0" borderId="1" xfId="0" applyNumberFormat="1" applyBorder="1"/>
    <xf numFmtId="0" fontId="25" fillId="0" borderId="6" xfId="0" applyFont="1" applyBorder="1"/>
    <xf numFmtId="0" fontId="25" fillId="0" borderId="1" xfId="0" applyFont="1" applyBorder="1"/>
    <xf numFmtId="0" fontId="25" fillId="2" borderId="1" xfId="0" applyFont="1" applyFill="1" applyBorder="1"/>
    <xf numFmtId="0" fontId="26" fillId="0" borderId="1" xfId="0" applyFont="1" applyBorder="1"/>
    <xf numFmtId="0" fontId="25" fillId="0" borderId="8" xfId="0" applyFont="1" applyBorder="1"/>
    <xf numFmtId="6" fontId="0" fillId="2" borderId="1" xfId="0" applyNumberFormat="1" applyFill="1" applyBorder="1"/>
    <xf numFmtId="44" fontId="0" fillId="2" borderId="13" xfId="1" applyFont="1" applyFill="1" applyBorder="1"/>
    <xf numFmtId="164" fontId="19" fillId="3" borderId="4" xfId="0" applyNumberFormat="1" applyFont="1" applyFill="1" applyBorder="1" applyAlignment="1">
      <alignment horizontal="center"/>
    </xf>
    <xf numFmtId="164" fontId="15" fillId="3" borderId="4" xfId="0" applyNumberFormat="1" applyFont="1" applyFill="1" applyBorder="1" applyAlignment="1">
      <alignment horizontal="center"/>
    </xf>
    <xf numFmtId="0" fontId="26" fillId="2" borderId="28" xfId="0" applyFont="1" applyFill="1" applyBorder="1"/>
    <xf numFmtId="0" fontId="18" fillId="2" borderId="1" xfId="0" applyFont="1" applyFill="1" applyBorder="1"/>
    <xf numFmtId="0" fontId="3" fillId="3" borderId="37" xfId="0" applyFont="1" applyFill="1" applyBorder="1" applyAlignment="1">
      <alignment vertical="center" wrapText="1"/>
    </xf>
    <xf numFmtId="0" fontId="3" fillId="3" borderId="38" xfId="0" applyFont="1" applyFill="1" applyBorder="1" applyAlignment="1">
      <alignment vertical="center" wrapText="1"/>
    </xf>
    <xf numFmtId="0" fontId="3" fillId="3" borderId="38" xfId="0" applyFont="1" applyFill="1" applyBorder="1" applyAlignment="1">
      <alignment vertical="center"/>
    </xf>
    <xf numFmtId="17" fontId="3" fillId="3" borderId="38" xfId="0" applyNumberFormat="1" applyFont="1" applyFill="1" applyBorder="1" applyAlignment="1">
      <alignment horizontal="left" vertical="center"/>
    </xf>
    <xf numFmtId="0" fontId="3" fillId="3" borderId="38" xfId="0" applyFont="1" applyFill="1" applyBorder="1" applyAlignment="1">
      <alignment horizontal="left" vertical="center"/>
    </xf>
    <xf numFmtId="0" fontId="3" fillId="3" borderId="39" xfId="0" applyFont="1" applyFill="1" applyBorder="1" applyAlignment="1">
      <alignment vertical="center" wrapText="1"/>
    </xf>
    <xf numFmtId="0" fontId="2" fillId="3" borderId="40" xfId="0" applyFont="1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 wrapText="1"/>
    </xf>
    <xf numFmtId="0" fontId="16" fillId="3" borderId="41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 wrapText="1"/>
    </xf>
    <xf numFmtId="164" fontId="2" fillId="3" borderId="41" xfId="1" applyNumberFormat="1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164" fontId="0" fillId="0" borderId="1" xfId="1" applyNumberFormat="1" applyFont="1" applyBorder="1"/>
    <xf numFmtId="0" fontId="15" fillId="0" borderId="1" xfId="0" applyFont="1" applyBorder="1"/>
    <xf numFmtId="0" fontId="17" fillId="0" borderId="1" xfId="0" applyFont="1" applyBorder="1"/>
    <xf numFmtId="164" fontId="2" fillId="0" borderId="1" xfId="1" applyNumberFormat="1" applyFont="1" applyBorder="1"/>
    <xf numFmtId="0" fontId="16" fillId="0" borderId="1" xfId="0" applyFont="1" applyBorder="1"/>
    <xf numFmtId="0" fontId="2" fillId="0" borderId="1" xfId="0" applyFont="1" applyBorder="1"/>
    <xf numFmtId="0" fontId="19" fillId="0" borderId="1" xfId="0" applyFont="1" applyBorder="1" applyAlignment="1">
      <alignment vertical="center" wrapText="1"/>
    </xf>
    <xf numFmtId="44" fontId="18" fillId="0" borderId="1" xfId="1" applyFont="1" applyBorder="1" applyAlignment="1">
      <alignment horizontal="left"/>
    </xf>
    <xf numFmtId="44" fontId="2" fillId="0" borderId="1" xfId="1" applyFont="1" applyBorder="1" applyAlignment="1">
      <alignment horizontal="left"/>
    </xf>
    <xf numFmtId="164" fontId="9" fillId="0" borderId="1" xfId="1" applyNumberFormat="1" applyFont="1" applyBorder="1"/>
    <xf numFmtId="44" fontId="21" fillId="2" borderId="13" xfId="1" applyFont="1" applyFill="1" applyBorder="1"/>
    <xf numFmtId="164" fontId="16" fillId="3" borderId="4" xfId="0" applyNumberFormat="1" applyFont="1" applyFill="1" applyBorder="1" applyAlignment="1">
      <alignment horizontal="center"/>
    </xf>
    <xf numFmtId="164" fontId="15" fillId="3" borderId="41" xfId="1" applyNumberFormat="1" applyFont="1" applyFill="1" applyBorder="1" applyAlignment="1">
      <alignment horizontal="center" vertical="center"/>
    </xf>
    <xf numFmtId="0" fontId="18" fillId="0" borderId="1" xfId="0" applyFont="1" applyBorder="1"/>
    <xf numFmtId="44" fontId="0" fillId="2" borderId="1" xfId="1" applyFont="1" applyFill="1" applyBorder="1"/>
    <xf numFmtId="44" fontId="29" fillId="0" borderId="0" xfId="0" applyNumberFormat="1" applyFont="1"/>
    <xf numFmtId="0" fontId="21" fillId="2" borderId="4" xfId="0" applyFont="1" applyFill="1" applyBorder="1" applyAlignment="1">
      <alignment horizontal="left"/>
    </xf>
    <xf numFmtId="0" fontId="21" fillId="2" borderId="5" xfId="0" applyFont="1" applyFill="1" applyBorder="1" applyAlignment="1">
      <alignment horizontal="left"/>
    </xf>
    <xf numFmtId="0" fontId="21" fillId="2" borderId="6" xfId="0" applyFont="1" applyFill="1" applyBorder="1" applyAlignment="1">
      <alignment horizontal="left"/>
    </xf>
    <xf numFmtId="0" fontId="22" fillId="2" borderId="1" xfId="0" applyFont="1" applyFill="1" applyBorder="1"/>
    <xf numFmtId="0" fontId="21" fillId="2" borderId="0" xfId="0" applyFont="1" applyFill="1"/>
    <xf numFmtId="44" fontId="22" fillId="2" borderId="0" xfId="1" applyFont="1" applyFill="1" applyBorder="1"/>
    <xf numFmtId="44" fontId="24" fillId="3" borderId="24" xfId="0" applyNumberFormat="1" applyFont="1" applyFill="1" applyBorder="1"/>
    <xf numFmtId="44" fontId="24" fillId="3" borderId="35" xfId="0" applyNumberFormat="1" applyFont="1" applyFill="1" applyBorder="1"/>
    <xf numFmtId="44" fontId="24" fillId="3" borderId="32" xfId="0" applyNumberFormat="1" applyFont="1" applyFill="1" applyBorder="1"/>
    <xf numFmtId="44" fontId="24" fillId="3" borderId="27" xfId="0" applyNumberFormat="1" applyFont="1" applyFill="1" applyBorder="1"/>
    <xf numFmtId="44" fontId="24" fillId="3" borderId="30" xfId="0" applyNumberFormat="1" applyFont="1" applyFill="1" applyBorder="1"/>
    <xf numFmtId="0" fontId="24" fillId="2" borderId="1" xfId="0" applyFont="1" applyFill="1" applyBorder="1" applyAlignment="1">
      <alignment horizontal="center"/>
    </xf>
    <xf numFmtId="44" fontId="24" fillId="2" borderId="1" xfId="0" applyNumberFormat="1" applyFont="1" applyFill="1" applyBorder="1"/>
    <xf numFmtId="0" fontId="21" fillId="0" borderId="1" xfId="0" applyFont="1" applyBorder="1"/>
    <xf numFmtId="0" fontId="24" fillId="2" borderId="7" xfId="0" applyFont="1" applyFill="1" applyBorder="1" applyAlignment="1">
      <alignment horizontal="left"/>
    </xf>
    <xf numFmtId="0" fontId="24" fillId="2" borderId="2" xfId="0" applyFont="1" applyFill="1" applyBorder="1" applyAlignment="1">
      <alignment horizontal="center"/>
    </xf>
    <xf numFmtId="8" fontId="30" fillId="0" borderId="1" xfId="0" applyNumberFormat="1" applyFont="1" applyBorder="1"/>
    <xf numFmtId="44" fontId="21" fillId="0" borderId="1" xfId="1" applyFont="1" applyBorder="1"/>
    <xf numFmtId="43" fontId="0" fillId="0" borderId="0" xfId="0" applyNumberFormat="1"/>
    <xf numFmtId="0" fontId="0" fillId="8" borderId="1" xfId="0" applyFill="1" applyBorder="1" applyAlignment="1">
      <alignment horizontal="right"/>
    </xf>
    <xf numFmtId="1" fontId="13" fillId="8" borderId="1" xfId="0" applyNumberFormat="1" applyFont="1" applyFill="1" applyBorder="1" applyAlignment="1">
      <alignment horizontal="center"/>
    </xf>
    <xf numFmtId="0" fontId="26" fillId="8" borderId="1" xfId="0" applyFont="1" applyFill="1" applyBorder="1"/>
    <xf numFmtId="10" fontId="11" fillId="8" borderId="1" xfId="0" applyNumberFormat="1" applyFont="1" applyFill="1" applyBorder="1"/>
    <xf numFmtId="44" fontId="0" fillId="8" borderId="13" xfId="1" applyFont="1" applyFill="1" applyBorder="1"/>
    <xf numFmtId="164" fontId="27" fillId="8" borderId="13" xfId="1" applyNumberFormat="1" applyFont="1" applyFill="1" applyBorder="1"/>
    <xf numFmtId="164" fontId="0" fillId="8" borderId="13" xfId="1" applyNumberFormat="1" applyFont="1" applyFill="1" applyBorder="1"/>
    <xf numFmtId="44" fontId="0" fillId="8" borderId="13" xfId="0" applyNumberFormat="1" applyFill="1" applyBorder="1"/>
    <xf numFmtId="1" fontId="12" fillId="8" borderId="1" xfId="0" applyNumberFormat="1" applyFont="1" applyFill="1" applyBorder="1" applyAlignment="1">
      <alignment horizontal="center"/>
    </xf>
    <xf numFmtId="0" fontId="25" fillId="8" borderId="1" xfId="0" applyFont="1" applyFill="1" applyBorder="1"/>
    <xf numFmtId="10" fontId="10" fillId="8" borderId="1" xfId="0" applyNumberFormat="1" applyFont="1" applyFill="1" applyBorder="1"/>
    <xf numFmtId="0" fontId="25" fillId="8" borderId="6" xfId="0" applyFont="1" applyFill="1" applyBorder="1"/>
    <xf numFmtId="10" fontId="10" fillId="8" borderId="6" xfId="0" applyNumberFormat="1" applyFont="1" applyFill="1" applyBorder="1"/>
    <xf numFmtId="167" fontId="12" fillId="8" borderId="1" xfId="0" applyNumberFormat="1" applyFont="1" applyFill="1" applyBorder="1" applyAlignment="1">
      <alignment horizontal="center"/>
    </xf>
    <xf numFmtId="166" fontId="12" fillId="8" borderId="1" xfId="0" applyNumberFormat="1" applyFont="1" applyFill="1" applyBorder="1" applyAlignment="1">
      <alignment horizontal="center"/>
    </xf>
    <xf numFmtId="0" fontId="0" fillId="8" borderId="13" xfId="0" applyFill="1" applyBorder="1" applyAlignment="1">
      <alignment horizontal="right"/>
    </xf>
    <xf numFmtId="164" fontId="21" fillId="8" borderId="13" xfId="1" applyNumberFormat="1" applyFont="1" applyFill="1" applyBorder="1"/>
    <xf numFmtId="164" fontId="21" fillId="2" borderId="1" xfId="1" applyNumberFormat="1" applyFont="1" applyFill="1" applyBorder="1"/>
    <xf numFmtId="164" fontId="21" fillId="8" borderId="1" xfId="1" applyNumberFormat="1" applyFont="1" applyFill="1" applyBorder="1"/>
    <xf numFmtId="165" fontId="21" fillId="0" borderId="9" xfId="0" applyNumberFormat="1" applyFont="1" applyBorder="1"/>
    <xf numFmtId="0" fontId="21" fillId="0" borderId="0" xfId="0" applyFont="1"/>
    <xf numFmtId="44" fontId="21" fillId="2" borderId="28" xfId="1" applyFont="1" applyFill="1" applyBorder="1"/>
    <xf numFmtId="44" fontId="21" fillId="2" borderId="31" xfId="1" applyFont="1" applyFill="1" applyBorder="1"/>
    <xf numFmtId="44" fontId="21" fillId="2" borderId="10" xfId="1" applyFont="1" applyFill="1" applyBorder="1"/>
    <xf numFmtId="44" fontId="22" fillId="2" borderId="10" xfId="1" applyFont="1" applyFill="1" applyBorder="1"/>
    <xf numFmtId="16" fontId="21" fillId="0" borderId="0" xfId="0" applyNumberFormat="1" applyFont="1"/>
    <xf numFmtId="0" fontId="21" fillId="0" borderId="9" xfId="0" applyFont="1" applyBorder="1"/>
    <xf numFmtId="0" fontId="21" fillId="0" borderId="9" xfId="0" applyFont="1" applyBorder="1" applyAlignment="1">
      <alignment horizontal="left"/>
    </xf>
    <xf numFmtId="0" fontId="21" fillId="2" borderId="9" xfId="0" applyFont="1" applyFill="1" applyBorder="1"/>
    <xf numFmtId="44" fontId="22" fillId="2" borderId="6" xfId="1" applyFont="1" applyFill="1" applyBorder="1"/>
    <xf numFmtId="0" fontId="21" fillId="2" borderId="7" xfId="0" applyFont="1" applyFill="1" applyBorder="1"/>
    <xf numFmtId="0" fontId="21" fillId="2" borderId="2" xfId="0" applyFont="1" applyFill="1" applyBorder="1"/>
    <xf numFmtId="44" fontId="21" fillId="2" borderId="8" xfId="1" applyFont="1" applyFill="1" applyBorder="1"/>
    <xf numFmtId="0" fontId="21" fillId="2" borderId="4" xfId="0" applyFont="1" applyFill="1" applyBorder="1"/>
    <xf numFmtId="0" fontId="21" fillId="2" borderId="5" xfId="0" applyFont="1" applyFill="1" applyBorder="1"/>
    <xf numFmtId="44" fontId="24" fillId="3" borderId="6" xfId="0" applyNumberFormat="1" applyFont="1" applyFill="1" applyBorder="1"/>
    <xf numFmtId="44" fontId="24" fillId="3" borderId="1" xfId="0" applyNumberFormat="1" applyFont="1" applyFill="1" applyBorder="1"/>
    <xf numFmtId="1" fontId="23" fillId="5" borderId="0" xfId="0" applyNumberFormat="1" applyFont="1" applyFill="1" applyAlignment="1">
      <alignment horizontal="center" vertical="center" wrapText="1"/>
    </xf>
    <xf numFmtId="44" fontId="9" fillId="0" borderId="1" xfId="1" applyFont="1" applyBorder="1" applyAlignment="1">
      <alignment horizontal="center"/>
    </xf>
    <xf numFmtId="164" fontId="22" fillId="5" borderId="0" xfId="1" applyNumberFormat="1" applyFont="1" applyFill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44" fontId="0" fillId="0" borderId="0" xfId="0" applyNumberFormat="1" applyAlignment="1">
      <alignment horizontal="center"/>
    </xf>
    <xf numFmtId="0" fontId="2" fillId="5" borderId="0" xfId="0" applyFont="1" applyFill="1" applyAlignment="1">
      <alignment horizontal="center" vertical="center" wrapText="1"/>
    </xf>
    <xf numFmtId="0" fontId="8" fillId="7" borderId="19" xfId="0" applyFont="1" applyFill="1" applyBorder="1" applyAlignment="1">
      <alignment horizontal="center" vertical="center" wrapText="1"/>
    </xf>
    <xf numFmtId="0" fontId="8" fillId="7" borderId="20" xfId="0" applyFont="1" applyFill="1" applyBorder="1" applyAlignment="1">
      <alignment horizontal="center" vertical="center" wrapText="1"/>
    </xf>
    <xf numFmtId="0" fontId="8" fillId="7" borderId="2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4" fillId="3" borderId="22" xfId="0" applyFont="1" applyFill="1" applyBorder="1" applyAlignment="1">
      <alignment horizontal="center"/>
    </xf>
    <xf numFmtId="0" fontId="24" fillId="3" borderId="23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0" fontId="24" fillId="3" borderId="28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165" fontId="22" fillId="3" borderId="9" xfId="0" applyNumberFormat="1" applyFont="1" applyFill="1" applyBorder="1" applyAlignment="1">
      <alignment horizontal="center"/>
    </xf>
    <xf numFmtId="165" fontId="22" fillId="3" borderId="0" xfId="0" applyNumberFormat="1" applyFont="1" applyFill="1" applyAlignment="1">
      <alignment horizontal="center"/>
    </xf>
    <xf numFmtId="165" fontId="22" fillId="3" borderId="10" xfId="0" applyNumberFormat="1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0" fontId="24" fillId="3" borderId="34" xfId="0" applyFont="1" applyFill="1" applyBorder="1" applyAlignment="1">
      <alignment horizontal="center"/>
    </xf>
    <xf numFmtId="0" fontId="24" fillId="3" borderId="5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0" fontId="24" fillId="3" borderId="25" xfId="0" applyFont="1" applyFill="1" applyBorder="1" applyAlignment="1">
      <alignment horizontal="center"/>
    </xf>
    <xf numFmtId="0" fontId="24" fillId="3" borderId="26" xfId="0" applyFont="1" applyFill="1" applyBorder="1" applyAlignment="1">
      <alignment horizontal="center"/>
    </xf>
    <xf numFmtId="0" fontId="24" fillId="3" borderId="4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22" fillId="3" borderId="4" xfId="0" applyFont="1" applyFill="1" applyBorder="1" applyAlignment="1">
      <alignment horizontal="center" vertical="center"/>
    </xf>
    <xf numFmtId="0" fontId="22" fillId="3" borderId="5" xfId="0" applyFont="1" applyFill="1" applyBorder="1" applyAlignment="1">
      <alignment horizontal="center" vertical="center"/>
    </xf>
    <xf numFmtId="0" fontId="22" fillId="3" borderId="6" xfId="0" applyFont="1" applyFill="1" applyBorder="1" applyAlignment="1">
      <alignment horizontal="center" vertical="center"/>
    </xf>
    <xf numFmtId="165" fontId="22" fillId="3" borderId="9" xfId="0" applyNumberFormat="1" applyFont="1" applyFill="1" applyBorder="1" applyAlignment="1">
      <alignment horizontal="center" wrapText="1"/>
    </xf>
    <xf numFmtId="165" fontId="22" fillId="3" borderId="0" xfId="0" applyNumberFormat="1" applyFont="1" applyFill="1" applyAlignment="1">
      <alignment horizontal="center" wrapText="1"/>
    </xf>
    <xf numFmtId="165" fontId="22" fillId="3" borderId="10" xfId="0" applyNumberFormat="1" applyFont="1" applyFill="1" applyBorder="1" applyAlignment="1">
      <alignment horizontal="center" wrapText="1"/>
    </xf>
    <xf numFmtId="0" fontId="21" fillId="2" borderId="4" xfId="0" applyFont="1" applyFill="1" applyBorder="1" applyAlignment="1">
      <alignment horizontal="left" vertical="center" wrapText="1"/>
    </xf>
    <xf numFmtId="0" fontId="21" fillId="2" borderId="5" xfId="0" applyFont="1" applyFill="1" applyBorder="1" applyAlignment="1">
      <alignment horizontal="left" vertical="center" wrapText="1"/>
    </xf>
    <xf numFmtId="0" fontId="21" fillId="2" borderId="6" xfId="0" applyFont="1" applyFill="1" applyBorder="1" applyAlignment="1">
      <alignment horizontal="left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44" fontId="31" fillId="2" borderId="31" xfId="1" applyFont="1" applyFill="1" applyBorder="1"/>
    <xf numFmtId="44" fontId="31" fillId="2" borderId="1" xfId="1" applyFont="1" applyFill="1" applyBorder="1"/>
    <xf numFmtId="44" fontId="32" fillId="2" borderId="1" xfId="1" applyFont="1" applyFill="1" applyBorder="1"/>
    <xf numFmtId="0" fontId="21" fillId="5" borderId="9" xfId="0" applyFont="1" applyFill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1</xdr:row>
      <xdr:rowOff>76200</xdr:rowOff>
    </xdr:from>
    <xdr:to>
      <xdr:col>9</xdr:col>
      <xdr:colOff>333375</xdr:colOff>
      <xdr:row>6</xdr:row>
      <xdr:rowOff>151559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0175" y="409575"/>
          <a:ext cx="2419350" cy="10945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1</xdr:row>
      <xdr:rowOff>38100</xdr:rowOff>
    </xdr:from>
    <xdr:to>
      <xdr:col>4</xdr:col>
      <xdr:colOff>771525</xdr:colOff>
      <xdr:row>6</xdr:row>
      <xdr:rowOff>113459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314325"/>
          <a:ext cx="2266950" cy="10278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130966</xdr:colOff>
      <xdr:row>0</xdr:row>
      <xdr:rowOff>71438</xdr:rowOff>
    </xdr:from>
    <xdr:to>
      <xdr:col>2</xdr:col>
      <xdr:colOff>552449</xdr:colOff>
      <xdr:row>6</xdr:row>
      <xdr:rowOff>134324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130966" y="71438"/>
          <a:ext cx="3131346" cy="162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zoomScaleNormal="100" workbookViewId="0">
      <selection activeCell="G2" sqref="G2"/>
    </sheetView>
  </sheetViews>
  <sheetFormatPr baseColWidth="10" defaultRowHeight="14.4"/>
  <cols>
    <col min="1" max="1" width="4.5546875" customWidth="1"/>
    <col min="2" max="2" width="9.5546875" customWidth="1"/>
    <col min="3" max="3" width="20.88671875" customWidth="1"/>
    <col min="4" max="4" width="7.88671875" customWidth="1"/>
    <col min="5" max="5" width="14" customWidth="1"/>
    <col min="6" max="6" width="17.44140625" style="2" customWidth="1"/>
    <col min="7" max="7" width="10.33203125" style="2" customWidth="1"/>
    <col min="8" max="8" width="12.33203125" style="2" customWidth="1"/>
    <col min="9" max="9" width="12.5546875" style="2" customWidth="1"/>
    <col min="10" max="10" width="11" style="2" customWidth="1"/>
    <col min="11" max="11" width="10.5546875" style="2" customWidth="1"/>
    <col min="12" max="12" width="14.5546875" customWidth="1"/>
    <col min="13" max="13" width="13.44140625" customWidth="1"/>
    <col min="14" max="14" width="15.109375" customWidth="1"/>
    <col min="15" max="15" width="12" bestFit="1" customWidth="1"/>
  </cols>
  <sheetData>
    <row r="1" spans="1:14" ht="26.25" customHeight="1">
      <c r="A1" s="104"/>
      <c r="B1" s="105"/>
      <c r="C1" s="105"/>
      <c r="D1" s="105"/>
      <c r="E1" s="106" t="s">
        <v>68</v>
      </c>
      <c r="F1" s="107" t="str">
        <f>RESUMEN!F8</f>
        <v>MAYO</v>
      </c>
      <c r="G1" s="108" t="str">
        <f>RESUMEN!G8</f>
        <v>VTO: 16/05</v>
      </c>
      <c r="H1" s="105"/>
      <c r="I1" s="105"/>
      <c r="J1" s="105"/>
      <c r="K1" s="105"/>
      <c r="L1" s="105"/>
      <c r="M1" s="105"/>
      <c r="N1" s="109"/>
    </row>
    <row r="2" spans="1:14">
      <c r="A2" s="61"/>
      <c r="B2" s="61"/>
      <c r="C2" s="129">
        <v>1333150</v>
      </c>
      <c r="D2" s="61"/>
      <c r="E2" s="61"/>
      <c r="F2" s="116"/>
      <c r="G2" s="116"/>
      <c r="H2" s="116"/>
      <c r="I2" s="116"/>
      <c r="J2" s="116"/>
      <c r="K2" s="116"/>
      <c r="L2" s="61"/>
      <c r="M2" s="61"/>
      <c r="N2" s="61"/>
    </row>
    <row r="3" spans="1:14">
      <c r="A3" s="117"/>
      <c r="B3" s="118"/>
      <c r="C3" s="103">
        <v>1886797.93</v>
      </c>
      <c r="D3" s="61"/>
      <c r="E3" s="61"/>
      <c r="F3" s="119"/>
      <c r="G3" s="119"/>
      <c r="H3" s="119"/>
      <c r="I3" s="119"/>
      <c r="J3" s="119"/>
      <c r="K3" s="119"/>
      <c r="L3" s="61" t="s">
        <v>81</v>
      </c>
      <c r="M3" s="61"/>
      <c r="N3" s="61"/>
    </row>
    <row r="4" spans="1:14" ht="18.75" customHeight="1">
      <c r="A4" s="120"/>
      <c r="B4" s="121" t="s">
        <v>82</v>
      </c>
      <c r="C4" s="61"/>
      <c r="D4" s="61"/>
      <c r="E4" s="121" t="s">
        <v>85</v>
      </c>
      <c r="F4" s="125">
        <f>105400+260-8</f>
        <v>105652</v>
      </c>
      <c r="G4" s="119"/>
      <c r="H4" s="119"/>
      <c r="I4" s="119"/>
      <c r="J4" s="119"/>
      <c r="K4" s="119"/>
      <c r="L4" s="61" t="s">
        <v>80</v>
      </c>
      <c r="M4" s="61"/>
      <c r="N4" s="61"/>
    </row>
    <row r="5" spans="1:14" ht="15.75" customHeight="1">
      <c r="A5" s="122"/>
      <c r="B5" s="189">
        <f>C3</f>
        <v>1886797.93</v>
      </c>
      <c r="C5" s="189"/>
      <c r="D5" s="21"/>
      <c r="E5" s="123">
        <v>70000</v>
      </c>
      <c r="F5" s="116"/>
      <c r="G5" s="116"/>
      <c r="H5" s="116"/>
      <c r="I5" s="116"/>
      <c r="J5" s="116"/>
      <c r="K5" s="116"/>
      <c r="L5" s="61"/>
      <c r="M5" s="61"/>
      <c r="N5" s="61"/>
    </row>
    <row r="6" spans="1:14" ht="15.75" customHeight="1">
      <c r="A6" s="122"/>
      <c r="B6" s="124" t="s">
        <v>83</v>
      </c>
      <c r="C6" s="21"/>
      <c r="D6" s="21"/>
      <c r="E6" s="121" t="s">
        <v>109</v>
      </c>
      <c r="F6" s="116"/>
      <c r="G6" s="116"/>
      <c r="H6" s="116"/>
      <c r="I6" s="116"/>
      <c r="J6" s="116"/>
      <c r="K6" s="116"/>
      <c r="L6" s="61"/>
      <c r="M6" s="61"/>
      <c r="N6" s="61"/>
    </row>
    <row r="7" spans="1:14" ht="18.75" customHeight="1">
      <c r="A7" s="122"/>
      <c r="B7" s="189">
        <v>1800000</v>
      </c>
      <c r="C7" s="189"/>
      <c r="D7" s="21"/>
      <c r="E7" s="21"/>
      <c r="F7" s="116"/>
      <c r="G7" s="116"/>
      <c r="H7" s="116"/>
      <c r="I7" s="116"/>
      <c r="J7" s="116"/>
      <c r="K7" s="116"/>
      <c r="L7" s="61"/>
      <c r="M7" s="61"/>
      <c r="N7" s="61"/>
    </row>
    <row r="8" spans="1:14" ht="53.25" customHeight="1" thickBot="1">
      <c r="A8" s="110" t="s">
        <v>0</v>
      </c>
      <c r="B8" s="111" t="s">
        <v>3</v>
      </c>
      <c r="C8" s="112" t="s">
        <v>1</v>
      </c>
      <c r="D8" s="113" t="s">
        <v>111</v>
      </c>
      <c r="E8" s="111" t="s">
        <v>2</v>
      </c>
      <c r="F8" s="114" t="s">
        <v>16</v>
      </c>
      <c r="G8" s="114" t="s">
        <v>63</v>
      </c>
      <c r="H8" s="114" t="s">
        <v>64</v>
      </c>
      <c r="I8" s="114" t="s">
        <v>154</v>
      </c>
      <c r="J8" s="114" t="s">
        <v>65</v>
      </c>
      <c r="K8" s="128" t="s">
        <v>135</v>
      </c>
      <c r="L8" s="111" t="s">
        <v>7</v>
      </c>
      <c r="M8" s="111" t="s">
        <v>155</v>
      </c>
      <c r="N8" s="115" t="s">
        <v>8</v>
      </c>
    </row>
    <row r="9" spans="1:14" ht="15" customHeight="1">
      <c r="A9" s="166">
        <v>1</v>
      </c>
      <c r="B9" s="165" t="s">
        <v>40</v>
      </c>
      <c r="C9" s="162" t="s">
        <v>19</v>
      </c>
      <c r="D9" s="162" t="s">
        <v>110</v>
      </c>
      <c r="E9" s="163">
        <v>4.0500000000000001E-2</v>
      </c>
      <c r="F9" s="155">
        <v>483124.75750197738</v>
      </c>
      <c r="G9" s="167"/>
      <c r="H9" s="157">
        <f>IF(F9&gt;G9,F9-G9,0)</f>
        <v>483124.75750197738</v>
      </c>
      <c r="I9" s="157">
        <f>H9*3.7%</f>
        <v>17875.616027573167</v>
      </c>
      <c r="J9" s="157">
        <f>IF(G9&gt;F9,G9-F9,0)</f>
        <v>0</v>
      </c>
      <c r="K9" s="157">
        <f>F$4*E9</f>
        <v>4278.9059999999999</v>
      </c>
      <c r="L9" s="158">
        <f>B$5*E9</f>
        <v>76415.316164999997</v>
      </c>
      <c r="M9" s="158">
        <f>B$7*E9</f>
        <v>72900</v>
      </c>
      <c r="N9" s="158">
        <f>H9+I9-J9+K9+L9+M9</f>
        <v>654594.59569455055</v>
      </c>
    </row>
    <row r="10" spans="1:14" ht="15" customHeight="1">
      <c r="A10" s="51">
        <v>2</v>
      </c>
      <c r="B10" s="38" t="s">
        <v>41</v>
      </c>
      <c r="C10" s="93" t="s">
        <v>20</v>
      </c>
      <c r="D10" s="93"/>
      <c r="E10" s="45">
        <v>6.4799999999999996E-2</v>
      </c>
      <c r="F10" s="17">
        <v>192576.87662399997</v>
      </c>
      <c r="G10" s="168">
        <f>F10</f>
        <v>192576.87662399997</v>
      </c>
      <c r="H10" s="24">
        <f t="shared" ref="H10:H31" si="0">IF(F10&gt;G10,F10-G10,0)</f>
        <v>0</v>
      </c>
      <c r="I10" s="24">
        <f>H10*3.7%</f>
        <v>0</v>
      </c>
      <c r="J10" s="24">
        <f t="shared" ref="J10:J31" si="1">IF(G10&gt;F10,G10-F10,0)</f>
        <v>0</v>
      </c>
      <c r="K10" s="24">
        <f t="shared" ref="K10:K31" si="2">F$4*E10</f>
        <v>6846.2495999999992</v>
      </c>
      <c r="L10" s="25">
        <f t="shared" ref="L10:L31" si="3">B$5*E10</f>
        <v>122264.50586399999</v>
      </c>
      <c r="M10" s="25">
        <f t="shared" ref="M10:M31" si="4">B$7*E10</f>
        <v>116640</v>
      </c>
      <c r="N10" s="25">
        <f t="shared" ref="N10:N31" si="5">H10+I10-J10+K10+L10+M10</f>
        <v>245750.75546399999</v>
      </c>
    </row>
    <row r="11" spans="1:14" ht="15" customHeight="1">
      <c r="A11" s="151">
        <v>3</v>
      </c>
      <c r="B11" s="165" t="s">
        <v>42</v>
      </c>
      <c r="C11" s="162" t="s">
        <v>21</v>
      </c>
      <c r="D11" s="162" t="s">
        <v>112</v>
      </c>
      <c r="E11" s="163">
        <v>4.82E-2</v>
      </c>
      <c r="F11" s="155">
        <v>583476.22770083812</v>
      </c>
      <c r="G11" s="169"/>
      <c r="H11" s="157">
        <f t="shared" si="0"/>
        <v>583476.22770083812</v>
      </c>
      <c r="I11" s="157">
        <f t="shared" ref="I11:I31" si="6">H11*3.7%</f>
        <v>21588.620424931014</v>
      </c>
      <c r="J11" s="157">
        <f t="shared" si="1"/>
        <v>0</v>
      </c>
      <c r="K11" s="157">
        <f t="shared" si="2"/>
        <v>5092.4264000000003</v>
      </c>
      <c r="L11" s="158">
        <f t="shared" si="3"/>
        <v>90943.660225999993</v>
      </c>
      <c r="M11" s="158">
        <f t="shared" si="4"/>
        <v>86760</v>
      </c>
      <c r="N11" s="158">
        <f>H11+I11-J11+K11+L11+M11+E7</f>
        <v>787860.93475176918</v>
      </c>
    </row>
    <row r="12" spans="1:14" ht="15" customHeight="1">
      <c r="A12" s="151">
        <v>4</v>
      </c>
      <c r="B12" s="164" t="s">
        <v>43</v>
      </c>
      <c r="C12" s="162" t="s">
        <v>107</v>
      </c>
      <c r="D12" s="162" t="s">
        <v>113</v>
      </c>
      <c r="E12" s="163">
        <v>5.3499999999999999E-2</v>
      </c>
      <c r="F12" s="155">
        <v>1080001.7229162182</v>
      </c>
      <c r="G12" s="169"/>
      <c r="H12" s="157">
        <f t="shared" si="0"/>
        <v>1080001.7229162182</v>
      </c>
      <c r="I12" s="157">
        <f t="shared" si="6"/>
        <v>39960.06374790008</v>
      </c>
      <c r="J12" s="157">
        <f t="shared" si="1"/>
        <v>0</v>
      </c>
      <c r="K12" s="157">
        <f t="shared" si="2"/>
        <v>5652.3819999999996</v>
      </c>
      <c r="L12" s="158">
        <f t="shared" si="3"/>
        <v>100943.68925499999</v>
      </c>
      <c r="M12" s="158">
        <f t="shared" si="4"/>
        <v>96300</v>
      </c>
      <c r="N12" s="158">
        <f t="shared" si="5"/>
        <v>1322857.8579191184</v>
      </c>
    </row>
    <row r="13" spans="1:14" ht="15" customHeight="1">
      <c r="A13" s="51">
        <v>5</v>
      </c>
      <c r="B13" s="38" t="s">
        <v>44</v>
      </c>
      <c r="C13" s="94" t="s">
        <v>23</v>
      </c>
      <c r="D13" s="93"/>
      <c r="E13" s="45">
        <v>3.85E-2</v>
      </c>
      <c r="F13" s="17">
        <v>114416.81713</v>
      </c>
      <c r="G13" s="168">
        <f>F13</f>
        <v>114416.81713</v>
      </c>
      <c r="H13" s="24">
        <f t="shared" si="0"/>
        <v>0</v>
      </c>
      <c r="I13" s="24">
        <f t="shared" si="6"/>
        <v>0</v>
      </c>
      <c r="J13" s="24">
        <f t="shared" si="1"/>
        <v>0</v>
      </c>
      <c r="K13" s="24">
        <f t="shared" si="2"/>
        <v>4067.6019999999999</v>
      </c>
      <c r="L13" s="25">
        <f t="shared" si="3"/>
        <v>72641.720304999995</v>
      </c>
      <c r="M13" s="25">
        <f t="shared" si="4"/>
        <v>69300</v>
      </c>
      <c r="N13" s="25">
        <f t="shared" si="5"/>
        <v>146009.32230499998</v>
      </c>
    </row>
    <row r="14" spans="1:14" ht="15" customHeight="1">
      <c r="A14" s="51">
        <v>6</v>
      </c>
      <c r="B14" s="40" t="s">
        <v>45</v>
      </c>
      <c r="C14" s="94" t="s">
        <v>24</v>
      </c>
      <c r="D14" s="93" t="s">
        <v>114</v>
      </c>
      <c r="E14" s="45">
        <v>3.5900000000000001E-2</v>
      </c>
      <c r="F14" s="17">
        <v>106689.96714200001</v>
      </c>
      <c r="G14" s="168">
        <f>F14</f>
        <v>106689.96714200001</v>
      </c>
      <c r="H14" s="24">
        <f t="shared" si="0"/>
        <v>0</v>
      </c>
      <c r="I14" s="24">
        <f t="shared" si="6"/>
        <v>0</v>
      </c>
      <c r="J14" s="24">
        <f t="shared" si="1"/>
        <v>0</v>
      </c>
      <c r="K14" s="24">
        <f t="shared" si="2"/>
        <v>3792.9068000000002</v>
      </c>
      <c r="L14" s="25">
        <f t="shared" si="3"/>
        <v>67736.045687000005</v>
      </c>
      <c r="M14" s="25">
        <f t="shared" si="4"/>
        <v>64620</v>
      </c>
      <c r="N14" s="25">
        <f t="shared" si="5"/>
        <v>136148.952487</v>
      </c>
    </row>
    <row r="15" spans="1:14" ht="15" customHeight="1">
      <c r="A15" s="51">
        <v>7</v>
      </c>
      <c r="B15" s="40" t="s">
        <v>46</v>
      </c>
      <c r="C15" s="94" t="s">
        <v>25</v>
      </c>
      <c r="D15" s="93" t="s">
        <v>115</v>
      </c>
      <c r="E15" s="45">
        <v>4.1399999999999999E-2</v>
      </c>
      <c r="F15" s="17">
        <v>123035.22673199998</v>
      </c>
      <c r="G15" s="168">
        <f>F15</f>
        <v>123035.22673199998</v>
      </c>
      <c r="H15" s="24">
        <f t="shared" si="0"/>
        <v>0</v>
      </c>
      <c r="I15" s="24">
        <f t="shared" si="6"/>
        <v>0</v>
      </c>
      <c r="J15" s="24">
        <f t="shared" si="1"/>
        <v>0</v>
      </c>
      <c r="K15" s="24">
        <f t="shared" si="2"/>
        <v>4373.9928</v>
      </c>
      <c r="L15" s="25">
        <f t="shared" si="3"/>
        <v>78113.434301999994</v>
      </c>
      <c r="M15" s="25">
        <f t="shared" si="4"/>
        <v>74520</v>
      </c>
      <c r="N15" s="25">
        <f t="shared" si="5"/>
        <v>157007.42710199999</v>
      </c>
    </row>
    <row r="16" spans="1:14" ht="15" customHeight="1">
      <c r="A16" s="51">
        <v>8</v>
      </c>
      <c r="B16" s="40" t="s">
        <v>47</v>
      </c>
      <c r="C16" s="94" t="s">
        <v>79</v>
      </c>
      <c r="D16" s="93" t="s">
        <v>116</v>
      </c>
      <c r="E16" s="45">
        <v>5.3499999999999999E-2</v>
      </c>
      <c r="F16" s="17">
        <v>307772.94998337491</v>
      </c>
      <c r="G16" s="168">
        <f>F16</f>
        <v>307772.94998337491</v>
      </c>
      <c r="H16" s="24">
        <f t="shared" si="0"/>
        <v>0</v>
      </c>
      <c r="I16" s="24">
        <f t="shared" si="6"/>
        <v>0</v>
      </c>
      <c r="J16" s="24">
        <f t="shared" si="1"/>
        <v>0</v>
      </c>
      <c r="K16" s="24">
        <f t="shared" si="2"/>
        <v>5652.3819999999996</v>
      </c>
      <c r="L16" s="25">
        <f t="shared" si="3"/>
        <v>100943.68925499999</v>
      </c>
      <c r="M16" s="25">
        <f t="shared" si="4"/>
        <v>96300</v>
      </c>
      <c r="N16" s="25">
        <f t="shared" si="5"/>
        <v>202896.07125499999</v>
      </c>
    </row>
    <row r="17" spans="1:15" ht="15" customHeight="1">
      <c r="A17" s="51">
        <v>9</v>
      </c>
      <c r="B17" s="40" t="s">
        <v>48</v>
      </c>
      <c r="C17" s="94" t="s">
        <v>26</v>
      </c>
      <c r="D17" s="93" t="s">
        <v>117</v>
      </c>
      <c r="E17" s="45">
        <v>3.85E-2</v>
      </c>
      <c r="F17" s="17">
        <v>114416.81713</v>
      </c>
      <c r="G17" s="168">
        <f>F17</f>
        <v>114416.81713</v>
      </c>
      <c r="H17" s="24">
        <f t="shared" si="0"/>
        <v>0</v>
      </c>
      <c r="I17" s="24">
        <f t="shared" si="6"/>
        <v>0</v>
      </c>
      <c r="J17" s="24">
        <f t="shared" si="1"/>
        <v>0</v>
      </c>
      <c r="K17" s="24">
        <f t="shared" si="2"/>
        <v>4067.6019999999999</v>
      </c>
      <c r="L17" s="25">
        <f t="shared" si="3"/>
        <v>72641.720304999995</v>
      </c>
      <c r="M17" s="25">
        <f t="shared" si="4"/>
        <v>69300</v>
      </c>
      <c r="N17" s="25">
        <f t="shared" si="5"/>
        <v>146009.32230499998</v>
      </c>
    </row>
    <row r="18" spans="1:15" ht="15" customHeight="1">
      <c r="A18" s="151">
        <v>10</v>
      </c>
      <c r="B18" s="159" t="s">
        <v>49</v>
      </c>
      <c r="C18" s="160" t="s">
        <v>27</v>
      </c>
      <c r="D18" s="162"/>
      <c r="E18" s="163">
        <v>3.5900000000000001E-2</v>
      </c>
      <c r="F18" s="155">
        <v>869519.26690976229</v>
      </c>
      <c r="G18" s="169"/>
      <c r="H18" s="157">
        <f>IF(F18&gt;G18,F18-G18,0)</f>
        <v>869519.26690976229</v>
      </c>
      <c r="I18" s="157">
        <f t="shared" si="6"/>
        <v>32172.212875661207</v>
      </c>
      <c r="J18" s="157">
        <f t="shared" si="1"/>
        <v>0</v>
      </c>
      <c r="K18" s="157">
        <f t="shared" si="2"/>
        <v>3792.9068000000002</v>
      </c>
      <c r="L18" s="158">
        <f t="shared" si="3"/>
        <v>67736.045687000005</v>
      </c>
      <c r="M18" s="158">
        <f t="shared" si="4"/>
        <v>64620</v>
      </c>
      <c r="N18" s="158">
        <f t="shared" si="5"/>
        <v>1037840.4322724235</v>
      </c>
    </row>
    <row r="19" spans="1:15" ht="15" customHeight="1">
      <c r="A19" s="151">
        <v>11</v>
      </c>
      <c r="B19" s="159" t="s">
        <v>50</v>
      </c>
      <c r="C19" s="160" t="s">
        <v>28</v>
      </c>
      <c r="D19" s="162" t="s">
        <v>118</v>
      </c>
      <c r="E19" s="163">
        <v>4.1399999999999999E-2</v>
      </c>
      <c r="F19" s="155">
        <v>617568.15854423842</v>
      </c>
      <c r="G19" s="169"/>
      <c r="H19" s="157">
        <f t="shared" si="0"/>
        <v>617568.15854423842</v>
      </c>
      <c r="I19" s="157">
        <f t="shared" si="6"/>
        <v>22850.021866136824</v>
      </c>
      <c r="J19" s="157">
        <f t="shared" si="1"/>
        <v>0</v>
      </c>
      <c r="K19" s="157">
        <f t="shared" si="2"/>
        <v>4373.9928</v>
      </c>
      <c r="L19" s="158">
        <f t="shared" si="3"/>
        <v>78113.434301999994</v>
      </c>
      <c r="M19" s="158">
        <f t="shared" si="4"/>
        <v>74520</v>
      </c>
      <c r="N19" s="158">
        <f t="shared" si="5"/>
        <v>797425.60751237522</v>
      </c>
    </row>
    <row r="20" spans="1:15" ht="15" customHeight="1">
      <c r="A20" s="51">
        <v>12</v>
      </c>
      <c r="B20" s="41" t="s">
        <v>51</v>
      </c>
      <c r="C20" s="102" t="s">
        <v>124</v>
      </c>
      <c r="D20" s="97" t="s">
        <v>133</v>
      </c>
      <c r="E20" s="46">
        <v>5.3499999999999999E-2</v>
      </c>
      <c r="F20" s="17">
        <v>158994.79783</v>
      </c>
      <c r="G20" s="168">
        <f>F20</f>
        <v>158994.79783</v>
      </c>
      <c r="H20" s="24">
        <f t="shared" si="0"/>
        <v>0</v>
      </c>
      <c r="I20" s="24">
        <f t="shared" si="6"/>
        <v>0</v>
      </c>
      <c r="J20" s="24">
        <f t="shared" si="1"/>
        <v>0</v>
      </c>
      <c r="K20" s="24">
        <f t="shared" si="2"/>
        <v>5652.3819999999996</v>
      </c>
      <c r="L20" s="25">
        <f t="shared" si="3"/>
        <v>100943.68925499999</v>
      </c>
      <c r="M20" s="25">
        <f t="shared" si="4"/>
        <v>96300</v>
      </c>
      <c r="N20" s="25">
        <f t="shared" si="5"/>
        <v>202896.07125499999</v>
      </c>
    </row>
    <row r="21" spans="1:15" ht="15" customHeight="1">
      <c r="A21" s="151">
        <v>13</v>
      </c>
      <c r="B21" s="159" t="s">
        <v>52</v>
      </c>
      <c r="C21" s="160" t="s">
        <v>30</v>
      </c>
      <c r="D21" s="160" t="s">
        <v>153</v>
      </c>
      <c r="E21" s="161">
        <v>3.85E-2</v>
      </c>
      <c r="F21" s="155">
        <v>371671.79901799065</v>
      </c>
      <c r="G21" s="169">
        <v>60243.197629999995</v>
      </c>
      <c r="H21" s="157">
        <f t="shared" si="0"/>
        <v>311428.60138799064</v>
      </c>
      <c r="I21" s="157">
        <f t="shared" si="6"/>
        <v>11522.858251355656</v>
      </c>
      <c r="J21" s="157">
        <f t="shared" si="1"/>
        <v>0</v>
      </c>
      <c r="K21" s="157">
        <f t="shared" si="2"/>
        <v>4067.6019999999999</v>
      </c>
      <c r="L21" s="158">
        <f t="shared" si="3"/>
        <v>72641.720304999995</v>
      </c>
      <c r="M21" s="158">
        <f t="shared" si="4"/>
        <v>69300</v>
      </c>
      <c r="N21" s="158">
        <f t="shared" si="5"/>
        <v>468960.78194434626</v>
      </c>
    </row>
    <row r="22" spans="1:15" ht="15" customHeight="1">
      <c r="A22" s="51">
        <v>14</v>
      </c>
      <c r="B22" s="40" t="s">
        <v>53</v>
      </c>
      <c r="C22" s="94" t="s">
        <v>31</v>
      </c>
      <c r="D22" s="94" t="s">
        <v>119</v>
      </c>
      <c r="E22" s="47">
        <v>3.5900000000000001E-2</v>
      </c>
      <c r="F22" s="17">
        <v>106689.96714200001</v>
      </c>
      <c r="G22" s="168">
        <f>F22</f>
        <v>106689.96714200001</v>
      </c>
      <c r="H22" s="24">
        <f t="shared" si="0"/>
        <v>0</v>
      </c>
      <c r="I22" s="24">
        <f t="shared" si="6"/>
        <v>0</v>
      </c>
      <c r="J22" s="24">
        <f t="shared" si="1"/>
        <v>0</v>
      </c>
      <c r="K22" s="24">
        <f t="shared" si="2"/>
        <v>3792.9068000000002</v>
      </c>
      <c r="L22" s="25">
        <f t="shared" si="3"/>
        <v>67736.045687000005</v>
      </c>
      <c r="M22" s="25">
        <f t="shared" si="4"/>
        <v>64620</v>
      </c>
      <c r="N22" s="25">
        <f t="shared" si="5"/>
        <v>136148.952487</v>
      </c>
    </row>
    <row r="23" spans="1:15" ht="15" customHeight="1">
      <c r="A23" s="51">
        <v>15</v>
      </c>
      <c r="B23" s="42" t="s">
        <v>54</v>
      </c>
      <c r="C23" s="95" t="s">
        <v>32</v>
      </c>
      <c r="D23" s="95" t="s">
        <v>120</v>
      </c>
      <c r="E23" s="48">
        <v>4.1399999999999999E-2</v>
      </c>
      <c r="F23" s="17">
        <v>123035.22673199998</v>
      </c>
      <c r="G23" s="168">
        <f>F23</f>
        <v>123035.22673199998</v>
      </c>
      <c r="H23" s="24">
        <f t="shared" si="0"/>
        <v>0</v>
      </c>
      <c r="I23" s="24">
        <f t="shared" si="6"/>
        <v>0</v>
      </c>
      <c r="J23" s="24">
        <f t="shared" si="1"/>
        <v>0</v>
      </c>
      <c r="K23" s="24">
        <f t="shared" si="2"/>
        <v>4373.9928</v>
      </c>
      <c r="L23" s="25">
        <f t="shared" si="3"/>
        <v>78113.434301999994</v>
      </c>
      <c r="M23" s="25">
        <f t="shared" si="4"/>
        <v>74520</v>
      </c>
      <c r="N23" s="25">
        <f t="shared" si="5"/>
        <v>157007.42710199999</v>
      </c>
    </row>
    <row r="24" spans="1:15" ht="15" customHeight="1">
      <c r="A24" s="51">
        <v>16</v>
      </c>
      <c r="B24" s="43" t="s">
        <v>55</v>
      </c>
      <c r="C24" s="96" t="s">
        <v>33</v>
      </c>
      <c r="D24" s="96"/>
      <c r="E24" s="49">
        <v>5.3499999999999999E-2</v>
      </c>
      <c r="F24" s="17">
        <v>158994.79783</v>
      </c>
      <c r="G24" s="168">
        <f>F24</f>
        <v>158994.79783</v>
      </c>
      <c r="H24" s="24">
        <f t="shared" si="0"/>
        <v>0</v>
      </c>
      <c r="I24" s="24">
        <f t="shared" si="6"/>
        <v>0</v>
      </c>
      <c r="J24" s="24">
        <f t="shared" si="1"/>
        <v>0</v>
      </c>
      <c r="K24" s="24">
        <f t="shared" si="2"/>
        <v>5652.3819999999996</v>
      </c>
      <c r="L24" s="25">
        <f t="shared" si="3"/>
        <v>100943.68925499999</v>
      </c>
      <c r="M24" s="25">
        <f t="shared" si="4"/>
        <v>96300</v>
      </c>
      <c r="N24" s="25">
        <f t="shared" si="5"/>
        <v>202896.07125499999</v>
      </c>
    </row>
    <row r="25" spans="1:15" s="1" customFormat="1" ht="15.75" customHeight="1">
      <c r="A25" s="51">
        <v>17</v>
      </c>
      <c r="B25" s="66" t="s">
        <v>56</v>
      </c>
      <c r="C25" s="96" t="s">
        <v>99</v>
      </c>
      <c r="D25" s="96" t="s">
        <v>121</v>
      </c>
      <c r="E25" s="49">
        <v>3.85E-2</v>
      </c>
      <c r="F25" s="17">
        <v>114416.81713</v>
      </c>
      <c r="G25" s="168">
        <f t="shared" ref="G25:G26" si="7">F25</f>
        <v>114416.81713</v>
      </c>
      <c r="H25" s="24">
        <f t="shared" si="0"/>
        <v>0</v>
      </c>
      <c r="I25" s="24">
        <f t="shared" si="6"/>
        <v>0</v>
      </c>
      <c r="J25" s="24">
        <f t="shared" si="1"/>
        <v>0</v>
      </c>
      <c r="K25" s="24">
        <f t="shared" si="2"/>
        <v>4067.6019999999999</v>
      </c>
      <c r="L25" s="25">
        <f t="shared" si="3"/>
        <v>72641.720304999995</v>
      </c>
      <c r="M25" s="25">
        <f t="shared" si="4"/>
        <v>69300</v>
      </c>
      <c r="N25" s="25">
        <f t="shared" si="5"/>
        <v>146009.32230499998</v>
      </c>
    </row>
    <row r="26" spans="1:15" ht="15" customHeight="1">
      <c r="A26" s="51">
        <v>18</v>
      </c>
      <c r="B26" s="44" t="s">
        <v>57</v>
      </c>
      <c r="C26" s="96" t="s">
        <v>34</v>
      </c>
      <c r="D26" s="96"/>
      <c r="E26" s="49">
        <v>3.5900000000000001E-2</v>
      </c>
      <c r="F26" s="17">
        <v>106689.96714200001</v>
      </c>
      <c r="G26" s="168">
        <f t="shared" si="7"/>
        <v>106689.96714200001</v>
      </c>
      <c r="H26" s="24">
        <f t="shared" si="0"/>
        <v>0</v>
      </c>
      <c r="I26" s="24">
        <f t="shared" si="6"/>
        <v>0</v>
      </c>
      <c r="J26" s="24">
        <f t="shared" si="1"/>
        <v>0</v>
      </c>
      <c r="K26" s="24">
        <f t="shared" si="2"/>
        <v>3792.9068000000002</v>
      </c>
      <c r="L26" s="25">
        <f t="shared" si="3"/>
        <v>67736.045687000005</v>
      </c>
      <c r="M26" s="25">
        <f t="shared" si="4"/>
        <v>64620</v>
      </c>
      <c r="N26" s="25">
        <f t="shared" si="5"/>
        <v>136148.952487</v>
      </c>
    </row>
    <row r="27" spans="1:15" ht="15" customHeight="1">
      <c r="A27" s="151">
        <v>19</v>
      </c>
      <c r="B27" s="152" t="s">
        <v>58</v>
      </c>
      <c r="C27" s="153" t="s">
        <v>35</v>
      </c>
      <c r="D27" s="153" t="s">
        <v>134</v>
      </c>
      <c r="E27" s="154">
        <v>4.1399999999999999E-2</v>
      </c>
      <c r="F27" s="155">
        <v>2054389.0423719024</v>
      </c>
      <c r="G27" s="169"/>
      <c r="H27" s="156">
        <f t="shared" si="0"/>
        <v>2054389.0423719024</v>
      </c>
      <c r="I27" s="157">
        <f t="shared" si="6"/>
        <v>76012.394567760392</v>
      </c>
      <c r="J27" s="157">
        <f t="shared" si="1"/>
        <v>0</v>
      </c>
      <c r="K27" s="157">
        <f t="shared" si="2"/>
        <v>4373.9928</v>
      </c>
      <c r="L27" s="158">
        <f t="shared" si="3"/>
        <v>78113.434301999994</v>
      </c>
      <c r="M27" s="158">
        <f t="shared" si="4"/>
        <v>74520</v>
      </c>
      <c r="N27" s="158">
        <f t="shared" si="5"/>
        <v>2287408.8640416628</v>
      </c>
    </row>
    <row r="28" spans="1:15" ht="17.25" customHeight="1">
      <c r="A28" s="51">
        <v>20</v>
      </c>
      <c r="B28" s="44" t="s">
        <v>59</v>
      </c>
      <c r="C28" s="96" t="s">
        <v>36</v>
      </c>
      <c r="D28" s="96"/>
      <c r="E28" s="49">
        <v>5.3499999999999999E-2</v>
      </c>
      <c r="F28" s="17">
        <v>155038.29301371746</v>
      </c>
      <c r="G28" s="168">
        <f>F28</f>
        <v>155038.29301371746</v>
      </c>
      <c r="H28" s="68">
        <f t="shared" si="0"/>
        <v>0</v>
      </c>
      <c r="I28" s="24">
        <f t="shared" si="6"/>
        <v>0</v>
      </c>
      <c r="J28" s="24">
        <f t="shared" si="1"/>
        <v>0</v>
      </c>
      <c r="K28" s="24"/>
      <c r="L28" s="25">
        <f t="shared" si="3"/>
        <v>100943.68925499999</v>
      </c>
      <c r="M28" s="25">
        <f t="shared" si="4"/>
        <v>96300</v>
      </c>
      <c r="N28" s="25">
        <f t="shared" si="5"/>
        <v>197243.68925499998</v>
      </c>
    </row>
    <row r="29" spans="1:15" ht="15" customHeight="1">
      <c r="A29" s="51">
        <v>21</v>
      </c>
      <c r="B29" s="43" t="s">
        <v>60</v>
      </c>
      <c r="C29" s="96" t="s">
        <v>108</v>
      </c>
      <c r="D29" s="96"/>
      <c r="E29" s="49">
        <v>3.85E-2</v>
      </c>
      <c r="F29" s="17">
        <v>114416.81713</v>
      </c>
      <c r="G29" s="168">
        <f>F29</f>
        <v>114416.81713</v>
      </c>
      <c r="H29" s="24">
        <f t="shared" si="0"/>
        <v>0</v>
      </c>
      <c r="I29" s="24">
        <f t="shared" si="6"/>
        <v>0</v>
      </c>
      <c r="J29" s="24">
        <f t="shared" si="1"/>
        <v>0</v>
      </c>
      <c r="K29" s="24">
        <f t="shared" si="2"/>
        <v>4067.6019999999999</v>
      </c>
      <c r="L29" s="25">
        <f t="shared" si="3"/>
        <v>72641.720304999995</v>
      </c>
      <c r="M29" s="25">
        <f t="shared" si="4"/>
        <v>69300</v>
      </c>
      <c r="N29" s="25">
        <f t="shared" si="5"/>
        <v>146009.32230499998</v>
      </c>
      <c r="O29" s="7"/>
    </row>
    <row r="30" spans="1:15" ht="15" customHeight="1">
      <c r="A30" s="51">
        <v>22</v>
      </c>
      <c r="B30" s="43" t="s">
        <v>61</v>
      </c>
      <c r="C30" s="96" t="s">
        <v>131</v>
      </c>
      <c r="D30" s="96" t="s">
        <v>138</v>
      </c>
      <c r="E30" s="49">
        <v>3.5900000000000001E-2</v>
      </c>
      <c r="F30" s="17">
        <v>106689.96714200001</v>
      </c>
      <c r="G30" s="168">
        <f>F30</f>
        <v>106689.96714200001</v>
      </c>
      <c r="H30" s="24">
        <f t="shared" si="0"/>
        <v>0</v>
      </c>
      <c r="I30" s="24">
        <f t="shared" si="6"/>
        <v>0</v>
      </c>
      <c r="J30" s="24">
        <f t="shared" si="1"/>
        <v>0</v>
      </c>
      <c r="K30" s="24">
        <f t="shared" si="2"/>
        <v>3792.9068000000002</v>
      </c>
      <c r="L30" s="25">
        <f t="shared" si="3"/>
        <v>67736.045687000005</v>
      </c>
      <c r="M30" s="25">
        <f t="shared" si="4"/>
        <v>64620</v>
      </c>
      <c r="N30" s="25">
        <f t="shared" si="5"/>
        <v>136148.952487</v>
      </c>
    </row>
    <row r="31" spans="1:15" ht="15" customHeight="1">
      <c r="A31" s="51">
        <v>23</v>
      </c>
      <c r="B31" s="43" t="s">
        <v>62</v>
      </c>
      <c r="C31" s="96" t="s">
        <v>39</v>
      </c>
      <c r="D31" s="96"/>
      <c r="E31" s="49">
        <v>4.1399999999999999E-2</v>
      </c>
      <c r="F31" s="17">
        <v>123035.22673199998</v>
      </c>
      <c r="G31" s="168">
        <f>F31</f>
        <v>123035.22673199998</v>
      </c>
      <c r="H31" s="24">
        <f t="shared" si="0"/>
        <v>0</v>
      </c>
      <c r="I31" s="24">
        <f t="shared" si="6"/>
        <v>0</v>
      </c>
      <c r="J31" s="24">
        <f t="shared" si="1"/>
        <v>0</v>
      </c>
      <c r="K31" s="24">
        <f t="shared" si="2"/>
        <v>4373.9928</v>
      </c>
      <c r="L31" s="25">
        <f t="shared" si="3"/>
        <v>78113.434301999994</v>
      </c>
      <c r="M31" s="25">
        <f t="shared" si="4"/>
        <v>74520</v>
      </c>
      <c r="N31" s="25">
        <f t="shared" si="5"/>
        <v>157007.42710199999</v>
      </c>
    </row>
    <row r="32" spans="1:15" ht="15.6">
      <c r="A32" s="37"/>
      <c r="B32" s="52">
        <f>SUM(B9:B31)</f>
        <v>0</v>
      </c>
      <c r="C32" s="37"/>
      <c r="D32" s="37"/>
      <c r="E32" s="53">
        <f>SUM(E9:E31)</f>
        <v>1</v>
      </c>
      <c r="F32" s="54">
        <f>SUM(F9:F31)</f>
        <v>8286661.5075280182</v>
      </c>
      <c r="G32" s="100">
        <f>SUM(G9:G30)</f>
        <v>2164118.5034630927</v>
      </c>
      <c r="H32" s="127">
        <f>SUM(H9:H31)</f>
        <v>5999507.777332928</v>
      </c>
      <c r="I32" s="54">
        <f>SUM(I9:I31)</f>
        <v>221981.78776131832</v>
      </c>
      <c r="J32" s="101">
        <f t="shared" ref="J32" si="8">SUM(J9:J31)</f>
        <v>0</v>
      </c>
      <c r="K32" s="91">
        <f>SUM(K9:K31)</f>
        <v>99999.617999999959</v>
      </c>
      <c r="L32" s="54">
        <f>SUM(L9:L31)</f>
        <v>1886797.9300000004</v>
      </c>
      <c r="M32" s="91">
        <f>SUM(M9:M31)</f>
        <v>1800000</v>
      </c>
      <c r="N32" s="54">
        <f>SUM(N9:N31)</f>
        <v>10008287.113094246</v>
      </c>
    </row>
    <row r="33" spans="1:14" ht="14.25" customHeight="1"/>
    <row r="34" spans="1:14" hidden="1">
      <c r="B34" s="188"/>
      <c r="C34" s="188"/>
      <c r="D34" s="188"/>
      <c r="E34" s="188"/>
      <c r="F34" s="188"/>
      <c r="G34" s="188"/>
      <c r="H34" s="188"/>
      <c r="I34" s="188"/>
      <c r="J34" s="188"/>
      <c r="K34" s="188"/>
      <c r="L34" s="188"/>
      <c r="M34" s="188"/>
      <c r="N34" s="188"/>
    </row>
    <row r="35" spans="1:14" hidden="1">
      <c r="B35" s="188"/>
      <c r="C35" s="188"/>
      <c r="D35" s="188"/>
      <c r="E35" s="188"/>
      <c r="F35" s="188"/>
      <c r="G35" s="188"/>
      <c r="H35" s="188"/>
      <c r="I35" s="188"/>
      <c r="J35" s="188"/>
      <c r="K35" s="188"/>
      <c r="L35" s="188"/>
      <c r="M35" s="188"/>
      <c r="N35" s="188"/>
    </row>
    <row r="36" spans="1:14" hidden="1">
      <c r="B36" s="188"/>
      <c r="C36" s="188"/>
      <c r="D36" s="188"/>
      <c r="E36" s="188"/>
      <c r="F36" s="188"/>
      <c r="G36" s="188"/>
      <c r="H36" s="188"/>
      <c r="I36" s="188"/>
      <c r="J36" s="188"/>
      <c r="K36" s="188"/>
      <c r="L36" s="188"/>
      <c r="M36" s="188"/>
      <c r="N36" s="188"/>
    </row>
    <row r="37" spans="1:14" hidden="1">
      <c r="B37" s="188"/>
      <c r="C37" s="188"/>
      <c r="D37" s="188"/>
      <c r="E37" s="188"/>
      <c r="F37" s="188"/>
      <c r="G37" s="188"/>
      <c r="H37" s="188"/>
      <c r="I37" s="188"/>
      <c r="J37" s="188"/>
      <c r="K37" s="188"/>
      <c r="L37" s="188"/>
      <c r="M37" s="188"/>
      <c r="N37" s="188"/>
    </row>
    <row r="38" spans="1:14" hidden="1">
      <c r="A38" s="190"/>
      <c r="B38" s="190"/>
      <c r="C38" s="190"/>
      <c r="D38" s="190"/>
      <c r="E38" s="190"/>
      <c r="F38" s="190"/>
      <c r="G38" s="190"/>
      <c r="H38" s="190"/>
      <c r="I38" s="190"/>
      <c r="J38" s="190"/>
      <c r="K38" s="190"/>
      <c r="L38" s="190"/>
      <c r="M38" s="190"/>
      <c r="N38" s="190"/>
    </row>
    <row r="39" spans="1:14" hidden="1">
      <c r="A39" s="190"/>
      <c r="B39" s="190"/>
      <c r="C39" s="190"/>
      <c r="D39" s="190"/>
      <c r="E39" s="190"/>
      <c r="F39" s="190"/>
      <c r="G39" s="190"/>
      <c r="H39" s="190"/>
      <c r="I39" s="190"/>
      <c r="J39" s="190"/>
      <c r="K39" s="190"/>
      <c r="L39" s="190"/>
      <c r="M39" s="190"/>
      <c r="N39" s="190"/>
    </row>
    <row r="40" spans="1:14" hidden="1">
      <c r="A40" s="190"/>
      <c r="B40" s="190"/>
      <c r="C40" s="190"/>
      <c r="D40" s="190"/>
      <c r="E40" s="190"/>
      <c r="F40" s="190"/>
      <c r="G40" s="190"/>
      <c r="H40" s="190"/>
      <c r="I40" s="190"/>
      <c r="J40" s="190"/>
      <c r="K40" s="190"/>
      <c r="L40" s="190"/>
      <c r="M40" s="190"/>
      <c r="N40" s="190"/>
    </row>
    <row r="41" spans="1:14">
      <c r="N41" s="7"/>
    </row>
  </sheetData>
  <mergeCells count="4">
    <mergeCell ref="B34:N37"/>
    <mergeCell ref="B5:C5"/>
    <mergeCell ref="B7:C7"/>
    <mergeCell ref="A38:N40"/>
  </mergeCells>
  <pageMargins left="0.25" right="0.25" top="0.75" bottom="0.75" header="0.3" footer="0.3"/>
  <pageSetup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workbookViewId="0">
      <selection activeCell="B4" sqref="B4"/>
    </sheetView>
  </sheetViews>
  <sheetFormatPr baseColWidth="10" defaultRowHeight="14.4"/>
  <cols>
    <col min="1" max="1" width="4.109375" customWidth="1"/>
    <col min="3" max="3" width="19.33203125" customWidth="1"/>
    <col min="5" max="5" width="18" bestFit="1" customWidth="1"/>
    <col min="6" max="6" width="13.33203125" customWidth="1"/>
    <col min="7" max="7" width="11.5546875" bestFit="1" customWidth="1"/>
  </cols>
  <sheetData>
    <row r="1" spans="1:7" ht="34.5" customHeight="1" thickBot="1">
      <c r="A1" s="191" t="s">
        <v>98</v>
      </c>
      <c r="B1" s="192"/>
      <c r="C1" s="192"/>
      <c r="D1" s="192"/>
      <c r="E1" s="192"/>
      <c r="F1" s="192"/>
      <c r="G1" s="193"/>
    </row>
    <row r="2" spans="1:7">
      <c r="A2" s="30"/>
      <c r="G2" s="31"/>
    </row>
    <row r="3" spans="1:7">
      <c r="A3" s="57"/>
      <c r="B3" s="59" t="s">
        <v>97</v>
      </c>
      <c r="G3" s="31"/>
    </row>
    <row r="4" spans="1:7">
      <c r="A4" s="58"/>
      <c r="B4" s="63">
        <v>400000</v>
      </c>
      <c r="D4" s="14"/>
      <c r="G4" s="31"/>
    </row>
    <row r="5" spans="1:7">
      <c r="A5" s="62"/>
      <c r="B5" s="32"/>
      <c r="C5" s="16"/>
      <c r="D5" s="67">
        <v>9508.5</v>
      </c>
      <c r="G5" s="31"/>
    </row>
    <row r="6" spans="1:7">
      <c r="A6" s="73"/>
      <c r="B6" s="64"/>
      <c r="C6" s="16"/>
      <c r="G6" s="31"/>
    </row>
    <row r="7" spans="1:7" ht="15" thickBot="1">
      <c r="A7" s="62"/>
      <c r="B7" s="32"/>
      <c r="C7" s="16"/>
      <c r="G7" s="31"/>
    </row>
    <row r="8" spans="1:7" ht="29.4" thickBot="1">
      <c r="A8" s="26" t="s">
        <v>0</v>
      </c>
      <c r="B8" s="27" t="s">
        <v>3</v>
      </c>
      <c r="C8" s="28" t="s">
        <v>1</v>
      </c>
      <c r="D8" s="72" t="s">
        <v>2</v>
      </c>
      <c r="E8" s="27" t="s">
        <v>15</v>
      </c>
      <c r="F8" s="75" t="s">
        <v>102</v>
      </c>
      <c r="G8" s="29" t="s">
        <v>8</v>
      </c>
    </row>
    <row r="9" spans="1:7">
      <c r="A9" s="50">
        <v>1</v>
      </c>
      <c r="B9" s="38" t="s">
        <v>40</v>
      </c>
      <c r="C9" s="33" t="s">
        <v>19</v>
      </c>
      <c r="D9" s="45">
        <v>4.0500000000000001E-2</v>
      </c>
      <c r="E9" s="71">
        <f>B$4*D9</f>
        <v>16200</v>
      </c>
      <c r="F9" s="71"/>
      <c r="G9" s="71" t="s">
        <v>104</v>
      </c>
    </row>
    <row r="10" spans="1:7">
      <c r="A10" s="51">
        <v>2</v>
      </c>
      <c r="B10" s="38" t="s">
        <v>41</v>
      </c>
      <c r="C10" s="33" t="s">
        <v>20</v>
      </c>
      <c r="D10" s="45">
        <v>6.4799999999999996E-2</v>
      </c>
      <c r="E10" s="71">
        <f t="shared" ref="E10:E31" si="0">B$4*D10</f>
        <v>25920</v>
      </c>
      <c r="F10" s="71"/>
      <c r="G10" s="71" t="s">
        <v>104</v>
      </c>
    </row>
    <row r="11" spans="1:7">
      <c r="A11" s="51">
        <v>3</v>
      </c>
      <c r="B11" s="38" t="s">
        <v>42</v>
      </c>
      <c r="C11" s="33" t="s">
        <v>21</v>
      </c>
      <c r="D11" s="45">
        <v>4.82E-2</v>
      </c>
      <c r="E11" s="71">
        <f t="shared" si="0"/>
        <v>19280</v>
      </c>
      <c r="F11" s="71"/>
      <c r="G11" s="71" t="s">
        <v>104</v>
      </c>
    </row>
    <row r="12" spans="1:7">
      <c r="A12" s="51">
        <v>4</v>
      </c>
      <c r="B12" s="39" t="s">
        <v>43</v>
      </c>
      <c r="C12" s="33" t="s">
        <v>22</v>
      </c>
      <c r="D12" s="45">
        <v>5.3499999999999999E-2</v>
      </c>
      <c r="E12" s="71">
        <f t="shared" si="0"/>
        <v>21400</v>
      </c>
      <c r="F12" s="71"/>
      <c r="G12" s="71" t="s">
        <v>104</v>
      </c>
    </row>
    <row r="13" spans="1:7">
      <c r="A13" s="51">
        <v>5</v>
      </c>
      <c r="B13" s="38" t="s">
        <v>44</v>
      </c>
      <c r="C13" s="34" t="s">
        <v>23</v>
      </c>
      <c r="D13" s="45">
        <v>3.85E-2</v>
      </c>
      <c r="E13" s="71">
        <f t="shared" si="0"/>
        <v>15400</v>
      </c>
      <c r="F13" s="71"/>
      <c r="G13" s="71" t="s">
        <v>104</v>
      </c>
    </row>
    <row r="14" spans="1:7">
      <c r="A14" s="51">
        <v>6</v>
      </c>
      <c r="B14" s="40" t="s">
        <v>45</v>
      </c>
      <c r="C14" s="34" t="s">
        <v>24</v>
      </c>
      <c r="D14" s="45">
        <v>3.5900000000000001E-2</v>
      </c>
      <c r="E14" s="71">
        <f t="shared" si="0"/>
        <v>14360</v>
      </c>
      <c r="F14" s="71">
        <f>E14*6.3%</f>
        <v>904.68</v>
      </c>
      <c r="G14" s="71">
        <f t="shared" ref="G14:G27" si="1">E14 +F14</f>
        <v>15264.68</v>
      </c>
    </row>
    <row r="15" spans="1:7">
      <c r="A15" s="51">
        <v>7</v>
      </c>
      <c r="B15" s="40" t="s">
        <v>46</v>
      </c>
      <c r="C15" s="34" t="s">
        <v>25</v>
      </c>
      <c r="D15" s="45">
        <v>4.1399999999999999E-2</v>
      </c>
      <c r="E15" s="71">
        <f t="shared" si="0"/>
        <v>16560</v>
      </c>
      <c r="F15" s="71"/>
      <c r="G15" s="71" t="s">
        <v>104</v>
      </c>
    </row>
    <row r="16" spans="1:7">
      <c r="A16" s="51">
        <v>8</v>
      </c>
      <c r="B16" s="40" t="s">
        <v>47</v>
      </c>
      <c r="C16" s="34" t="s">
        <v>79</v>
      </c>
      <c r="D16" s="45">
        <v>5.3499999999999999E-2</v>
      </c>
      <c r="E16" s="71">
        <f t="shared" si="0"/>
        <v>21400</v>
      </c>
      <c r="F16" s="71"/>
      <c r="G16" s="71" t="s">
        <v>104</v>
      </c>
    </row>
    <row r="17" spans="1:7">
      <c r="A17" s="51">
        <v>9</v>
      </c>
      <c r="B17" s="40" t="s">
        <v>48</v>
      </c>
      <c r="C17" s="34" t="s">
        <v>26</v>
      </c>
      <c r="D17" s="45">
        <v>3.85E-2</v>
      </c>
      <c r="E17" s="71">
        <f t="shared" si="0"/>
        <v>15400</v>
      </c>
      <c r="F17" s="71"/>
      <c r="G17" s="71" t="s">
        <v>104</v>
      </c>
    </row>
    <row r="18" spans="1:7">
      <c r="A18" s="51">
        <v>10</v>
      </c>
      <c r="B18" s="40" t="s">
        <v>49</v>
      </c>
      <c r="C18" s="34" t="s">
        <v>27</v>
      </c>
      <c r="D18" s="45">
        <v>3.5900000000000001E-2</v>
      </c>
      <c r="E18" s="71">
        <f t="shared" si="0"/>
        <v>14360</v>
      </c>
      <c r="F18" s="71"/>
      <c r="G18" s="71" t="s">
        <v>104</v>
      </c>
    </row>
    <row r="19" spans="1:7">
      <c r="A19" s="51">
        <v>11</v>
      </c>
      <c r="B19" s="40" t="s">
        <v>50</v>
      </c>
      <c r="C19" s="34" t="s">
        <v>28</v>
      </c>
      <c r="D19" s="45">
        <v>4.1399999999999999E-2</v>
      </c>
      <c r="E19" s="71">
        <f t="shared" si="0"/>
        <v>16560</v>
      </c>
      <c r="F19" s="71">
        <f>E19*6.3%</f>
        <v>1043.28</v>
      </c>
      <c r="G19" s="71">
        <f t="shared" si="1"/>
        <v>17603.28</v>
      </c>
    </row>
    <row r="20" spans="1:7">
      <c r="A20" s="51">
        <v>12</v>
      </c>
      <c r="B20" s="41" t="s">
        <v>51</v>
      </c>
      <c r="C20" s="35" t="s">
        <v>29</v>
      </c>
      <c r="D20" s="46">
        <v>5.3499999999999999E-2</v>
      </c>
      <c r="E20" s="71">
        <f t="shared" si="0"/>
        <v>21400</v>
      </c>
      <c r="F20" s="71"/>
      <c r="G20" s="71" t="s">
        <v>104</v>
      </c>
    </row>
    <row r="21" spans="1:7">
      <c r="A21" s="51">
        <v>13</v>
      </c>
      <c r="B21" s="40" t="s">
        <v>52</v>
      </c>
      <c r="C21" s="34" t="s">
        <v>30</v>
      </c>
      <c r="D21" s="47">
        <v>3.85E-2</v>
      </c>
      <c r="E21" s="71">
        <f t="shared" si="0"/>
        <v>15400</v>
      </c>
      <c r="F21" s="71"/>
      <c r="G21" s="71" t="s">
        <v>104</v>
      </c>
    </row>
    <row r="22" spans="1:7">
      <c r="A22" s="51">
        <v>14</v>
      </c>
      <c r="B22" s="40" t="s">
        <v>53</v>
      </c>
      <c r="C22" s="34" t="s">
        <v>31</v>
      </c>
      <c r="D22" s="47">
        <v>3.5900000000000001E-2</v>
      </c>
      <c r="E22" s="71">
        <f t="shared" si="0"/>
        <v>14360</v>
      </c>
      <c r="F22" s="71"/>
      <c r="G22" s="71" t="s">
        <v>104</v>
      </c>
    </row>
    <row r="23" spans="1:7">
      <c r="A23" s="51">
        <v>15</v>
      </c>
      <c r="B23" s="42" t="s">
        <v>54</v>
      </c>
      <c r="C23" s="36" t="s">
        <v>32</v>
      </c>
      <c r="D23" s="48">
        <v>4.1399999999999999E-2</v>
      </c>
      <c r="E23" s="71">
        <f t="shared" si="0"/>
        <v>16560</v>
      </c>
      <c r="F23" s="71"/>
      <c r="G23" s="71" t="s">
        <v>104</v>
      </c>
    </row>
    <row r="24" spans="1:7" ht="15.6">
      <c r="A24" s="51">
        <v>16</v>
      </c>
      <c r="B24" s="43" t="s">
        <v>55</v>
      </c>
      <c r="C24" s="65" t="s">
        <v>33</v>
      </c>
      <c r="D24" s="49">
        <v>5.3499999999999999E-2</v>
      </c>
      <c r="E24" s="71">
        <f t="shared" si="0"/>
        <v>21400</v>
      </c>
      <c r="F24" s="71"/>
      <c r="G24" s="71" t="s">
        <v>104</v>
      </c>
    </row>
    <row r="25" spans="1:7" ht="15.6">
      <c r="A25" s="51">
        <v>17</v>
      </c>
      <c r="B25" s="66" t="s">
        <v>56</v>
      </c>
      <c r="C25" s="65" t="s">
        <v>99</v>
      </c>
      <c r="D25" s="49">
        <v>3.85E-2</v>
      </c>
      <c r="E25" s="71">
        <f t="shared" si="0"/>
        <v>15400</v>
      </c>
      <c r="F25" s="71"/>
      <c r="G25" s="71" t="s">
        <v>104</v>
      </c>
    </row>
    <row r="26" spans="1:7" ht="15.6">
      <c r="A26" s="51">
        <v>18</v>
      </c>
      <c r="B26" s="44" t="s">
        <v>57</v>
      </c>
      <c r="C26" s="65" t="s">
        <v>34</v>
      </c>
      <c r="D26" s="49">
        <v>3.5900000000000001E-2</v>
      </c>
      <c r="E26" s="71">
        <f t="shared" si="0"/>
        <v>14360</v>
      </c>
      <c r="F26" s="71"/>
      <c r="G26" s="71" t="s">
        <v>104</v>
      </c>
    </row>
    <row r="27" spans="1:7" ht="15.6">
      <c r="A27" s="51">
        <v>19</v>
      </c>
      <c r="B27" s="43" t="s">
        <v>58</v>
      </c>
      <c r="C27" s="65" t="s">
        <v>35</v>
      </c>
      <c r="D27" s="49">
        <v>4.1399999999999999E-2</v>
      </c>
      <c r="E27" s="71">
        <f t="shared" si="0"/>
        <v>16560</v>
      </c>
      <c r="F27" s="71">
        <f>E27*6.3%</f>
        <v>1043.28</v>
      </c>
      <c r="G27" s="71">
        <f t="shared" si="1"/>
        <v>17603.28</v>
      </c>
    </row>
    <row r="28" spans="1:7" ht="15.6">
      <c r="A28" s="51">
        <v>20</v>
      </c>
      <c r="B28" s="44" t="s">
        <v>59</v>
      </c>
      <c r="C28" s="65" t="s">
        <v>36</v>
      </c>
      <c r="D28" s="49">
        <v>5.3499999999999999E-2</v>
      </c>
      <c r="E28" s="71">
        <f t="shared" si="0"/>
        <v>21400</v>
      </c>
      <c r="F28" s="71"/>
      <c r="G28" s="71" t="s">
        <v>104</v>
      </c>
    </row>
    <row r="29" spans="1:7" ht="15.6">
      <c r="A29" s="51">
        <v>21</v>
      </c>
      <c r="B29" s="43" t="s">
        <v>60</v>
      </c>
      <c r="C29" s="65" t="s">
        <v>37</v>
      </c>
      <c r="D29" s="49">
        <v>3.85E-2</v>
      </c>
      <c r="E29" s="71">
        <f t="shared" si="0"/>
        <v>15400</v>
      </c>
      <c r="F29" s="71"/>
      <c r="G29" s="71" t="s">
        <v>104</v>
      </c>
    </row>
    <row r="30" spans="1:7" ht="15.6">
      <c r="A30" s="51">
        <v>22</v>
      </c>
      <c r="B30" s="43" t="s">
        <v>61</v>
      </c>
      <c r="C30" s="65" t="s">
        <v>38</v>
      </c>
      <c r="D30" s="49">
        <v>3.5900000000000001E-2</v>
      </c>
      <c r="E30" s="71">
        <f t="shared" si="0"/>
        <v>14360</v>
      </c>
      <c r="F30" s="71"/>
      <c r="G30" s="71" t="s">
        <v>104</v>
      </c>
    </row>
    <row r="31" spans="1:7" ht="15.6">
      <c r="A31" s="51">
        <v>23</v>
      </c>
      <c r="B31" s="43" t="s">
        <v>62</v>
      </c>
      <c r="C31" s="65" t="s">
        <v>39</v>
      </c>
      <c r="D31" s="49">
        <v>4.1399999999999999E-2</v>
      </c>
      <c r="E31" s="71">
        <f t="shared" si="0"/>
        <v>16560</v>
      </c>
      <c r="F31" s="71"/>
      <c r="G31" s="71" t="s">
        <v>104</v>
      </c>
    </row>
    <row r="32" spans="1:7" ht="15.6">
      <c r="A32" s="37"/>
      <c r="B32" s="52">
        <f>SUM(B9:B31)</f>
        <v>0</v>
      </c>
      <c r="C32" s="37"/>
      <c r="D32" s="53">
        <f>SUM(D9:D31)</f>
        <v>1</v>
      </c>
      <c r="E32" s="54">
        <f>SUM(E9:E31)</f>
        <v>400000</v>
      </c>
      <c r="F32" s="54"/>
      <c r="G32" s="54"/>
    </row>
    <row r="34" spans="3:5" ht="13.5" customHeight="1">
      <c r="C34" s="78" t="s">
        <v>103</v>
      </c>
      <c r="D34" s="76"/>
      <c r="E34" s="77">
        <f>SUMIF(G9:G31,"pago",E9:E31)</f>
        <v>352520</v>
      </c>
    </row>
  </sheetData>
  <mergeCells count="1">
    <mergeCell ref="A1:G1"/>
  </mergeCells>
  <pageMargins left="0.25" right="0.2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4"/>
  <sheetViews>
    <sheetView zoomScaleNormal="100" workbookViewId="0">
      <selection activeCell="G8" sqref="G8"/>
    </sheetView>
  </sheetViews>
  <sheetFormatPr baseColWidth="10" defaultRowHeight="14.4"/>
  <cols>
    <col min="1" max="1" width="28.6640625" customWidth="1"/>
    <col min="2" max="2" width="11.88671875" bestFit="1" customWidth="1"/>
    <col min="5" max="5" width="13.44140625" customWidth="1"/>
    <col min="6" max="6" width="15.6640625" bestFit="1" customWidth="1"/>
    <col min="7" max="7" width="25.109375" bestFit="1" customWidth="1"/>
    <col min="8" max="8" width="19.6640625" customWidth="1"/>
    <col min="9" max="9" width="13.5546875" customWidth="1"/>
    <col min="10" max="10" width="12.88671875" bestFit="1" customWidth="1"/>
  </cols>
  <sheetData>
    <row r="1" spans="1:8">
      <c r="A1" s="8"/>
      <c r="B1" s="3"/>
      <c r="C1" s="3"/>
      <c r="D1" s="3"/>
      <c r="E1" s="3"/>
      <c r="F1" s="3"/>
      <c r="G1" s="3"/>
      <c r="H1" s="9"/>
    </row>
    <row r="2" spans="1:8" ht="48" customHeight="1">
      <c r="A2" s="10"/>
      <c r="D2" s="228"/>
      <c r="E2" s="229"/>
      <c r="F2" s="229"/>
      <c r="G2" s="229"/>
      <c r="H2" s="230"/>
    </row>
    <row r="3" spans="1:8">
      <c r="A3" s="10"/>
      <c r="D3" s="14" t="s">
        <v>6</v>
      </c>
      <c r="E3" s="202">
        <v>1153202676</v>
      </c>
      <c r="F3" s="202"/>
      <c r="G3" s="202"/>
      <c r="H3" s="203"/>
    </row>
    <row r="4" spans="1:8">
      <c r="A4" s="10"/>
      <c r="D4" s="14" t="s">
        <v>4</v>
      </c>
      <c r="E4" s="55" t="s">
        <v>66</v>
      </c>
      <c r="H4" s="11"/>
    </row>
    <row r="5" spans="1:8">
      <c r="A5" s="10"/>
      <c r="D5" s="14" t="s">
        <v>18</v>
      </c>
      <c r="E5" s="56">
        <v>30707328890</v>
      </c>
      <c r="H5" s="11"/>
    </row>
    <row r="6" spans="1:8">
      <c r="A6" s="10"/>
      <c r="D6" s="14" t="s">
        <v>9</v>
      </c>
      <c r="G6" t="s">
        <v>123</v>
      </c>
      <c r="H6" s="11"/>
    </row>
    <row r="7" spans="1:8">
      <c r="A7" s="10"/>
      <c r="H7" s="11"/>
    </row>
    <row r="8" spans="1:8" s="5" customFormat="1" ht="18">
      <c r="A8" s="18" t="s">
        <v>5</v>
      </c>
      <c r="B8" s="19"/>
      <c r="C8" s="19"/>
      <c r="D8" s="19"/>
      <c r="E8" s="19" t="s">
        <v>67</v>
      </c>
      <c r="F8" s="90" t="s">
        <v>158</v>
      </c>
      <c r="G8" s="19" t="s">
        <v>162</v>
      </c>
      <c r="H8" s="20"/>
    </row>
    <row r="9" spans="1:8">
      <c r="A9" s="8"/>
      <c r="B9" s="3"/>
      <c r="C9" s="3"/>
      <c r="D9" s="3"/>
      <c r="E9" s="3"/>
      <c r="F9" s="3"/>
      <c r="G9" s="3"/>
      <c r="H9" s="9"/>
    </row>
    <row r="10" spans="1:8">
      <c r="A10" s="15" t="s">
        <v>14</v>
      </c>
      <c r="E10" s="14" t="s">
        <v>13</v>
      </c>
      <c r="H10" s="11"/>
    </row>
    <row r="11" spans="1:8" ht="14.25" customHeight="1">
      <c r="A11" s="15"/>
      <c r="E11" s="14"/>
      <c r="H11" s="11"/>
    </row>
    <row r="12" spans="1:8" ht="67.5" hidden="1" customHeight="1">
      <c r="A12" s="240"/>
      <c r="B12" s="195"/>
      <c r="C12" s="195"/>
      <c r="D12" s="195"/>
      <c r="E12" s="195"/>
      <c r="F12" s="195"/>
      <c r="G12" s="195"/>
      <c r="H12" s="241"/>
    </row>
    <row r="13" spans="1:8" ht="13.5" customHeight="1">
      <c r="A13" s="12"/>
      <c r="B13" s="4"/>
      <c r="C13" s="4"/>
      <c r="D13" s="4"/>
      <c r="E13" s="4"/>
      <c r="F13" s="4"/>
      <c r="G13" s="4"/>
      <c r="H13" s="13"/>
    </row>
    <row r="14" spans="1:8" ht="15.6">
      <c r="A14" s="208" t="s">
        <v>132</v>
      </c>
      <c r="B14" s="208"/>
      <c r="C14" s="208"/>
      <c r="D14" s="208"/>
      <c r="E14" s="208"/>
      <c r="F14" s="208"/>
      <c r="G14" s="208"/>
      <c r="H14" s="208"/>
    </row>
    <row r="15" spans="1:8">
      <c r="A15" s="170" t="s">
        <v>69</v>
      </c>
      <c r="B15" s="171"/>
      <c r="C15" s="171"/>
      <c r="D15" s="171"/>
      <c r="E15" s="171"/>
      <c r="F15" s="171"/>
      <c r="G15" s="171"/>
      <c r="H15" s="172">
        <v>194212.8</v>
      </c>
    </row>
    <row r="16" spans="1:8">
      <c r="A16" s="170" t="s">
        <v>92</v>
      </c>
      <c r="B16" s="171"/>
      <c r="C16" s="171"/>
      <c r="D16" s="171"/>
      <c r="E16" s="171"/>
      <c r="F16" s="171"/>
      <c r="G16" s="171"/>
      <c r="H16" s="173">
        <v>23811.3</v>
      </c>
    </row>
    <row r="17" spans="1:9" ht="14.25" customHeight="1">
      <c r="A17" s="170" t="s">
        <v>93</v>
      </c>
      <c r="B17" s="171"/>
      <c r="C17" s="171"/>
      <c r="D17" s="171"/>
      <c r="E17" s="171"/>
      <c r="F17" s="171"/>
      <c r="G17" s="171"/>
      <c r="H17" s="173">
        <v>33304</v>
      </c>
    </row>
    <row r="18" spans="1:9">
      <c r="A18" s="170" t="s">
        <v>139</v>
      </c>
      <c r="B18" s="171"/>
      <c r="C18" s="171"/>
      <c r="D18" s="171"/>
      <c r="E18" s="171"/>
      <c r="F18" s="171"/>
      <c r="G18" s="171"/>
      <c r="H18" s="173">
        <v>6666.67</v>
      </c>
    </row>
    <row r="19" spans="1:9">
      <c r="A19" s="170" t="s">
        <v>91</v>
      </c>
      <c r="B19" s="171"/>
      <c r="C19" s="171"/>
      <c r="D19" s="171"/>
      <c r="E19" s="171"/>
      <c r="F19" s="171"/>
      <c r="G19" s="171"/>
      <c r="H19" s="173">
        <v>-40634.18</v>
      </c>
      <c r="I19" s="7"/>
    </row>
    <row r="20" spans="1:9">
      <c r="A20" s="170" t="s">
        <v>126</v>
      </c>
      <c r="B20" s="171"/>
      <c r="C20" s="171"/>
      <c r="D20" s="171"/>
      <c r="E20" s="171"/>
      <c r="F20" s="171"/>
      <c r="G20" s="171"/>
      <c r="H20" s="173">
        <v>0.41</v>
      </c>
      <c r="I20" s="7"/>
    </row>
    <row r="21" spans="1:9">
      <c r="A21" s="170" t="s">
        <v>77</v>
      </c>
      <c r="B21" s="171"/>
      <c r="C21" s="171"/>
      <c r="D21" s="171"/>
      <c r="E21" s="171"/>
      <c r="F21" s="171"/>
      <c r="G21" s="171"/>
      <c r="H21" s="173">
        <f>SUM(H15:H20)</f>
        <v>217361</v>
      </c>
      <c r="I21" s="7"/>
    </row>
    <row r="22" spans="1:9" ht="0.75" customHeight="1">
      <c r="A22" s="234" t="s">
        <v>136</v>
      </c>
      <c r="B22" s="235"/>
      <c r="C22" s="235"/>
      <c r="D22" s="235"/>
      <c r="E22" s="235"/>
      <c r="F22" s="235"/>
      <c r="G22" s="235"/>
      <c r="H22" s="236"/>
    </row>
    <row r="23" spans="1:9" hidden="1">
      <c r="A23" s="170" t="s">
        <v>136</v>
      </c>
      <c r="B23" s="171"/>
      <c r="C23" s="171"/>
      <c r="D23" s="171"/>
      <c r="E23" s="171"/>
      <c r="F23" s="171"/>
      <c r="G23" s="171"/>
      <c r="H23" s="174"/>
    </row>
    <row r="24" spans="1:9" hidden="1">
      <c r="A24" s="170"/>
      <c r="B24" s="171"/>
      <c r="C24" s="171"/>
      <c r="D24" s="171"/>
      <c r="E24" s="171"/>
      <c r="F24" s="171"/>
      <c r="G24" s="171"/>
      <c r="H24" s="174">
        <v>0</v>
      </c>
    </row>
    <row r="25" spans="1:9" hidden="1">
      <c r="A25" s="170"/>
      <c r="B25" s="171"/>
      <c r="C25" s="171"/>
      <c r="D25" s="171"/>
      <c r="E25" s="171"/>
      <c r="F25" s="171"/>
      <c r="G25" s="171"/>
      <c r="H25" s="174">
        <v>0</v>
      </c>
    </row>
    <row r="26" spans="1:9" hidden="1">
      <c r="A26" s="170"/>
      <c r="B26" s="171"/>
      <c r="C26" s="171"/>
      <c r="D26" s="171"/>
      <c r="E26" s="171"/>
      <c r="F26" s="171"/>
      <c r="G26" s="171"/>
      <c r="H26" s="174">
        <v>0</v>
      </c>
    </row>
    <row r="27" spans="1:9" hidden="1">
      <c r="A27" s="170" t="s">
        <v>137</v>
      </c>
      <c r="B27" s="171"/>
      <c r="C27" s="171"/>
      <c r="D27" s="171"/>
      <c r="E27" s="171"/>
      <c r="F27" s="171"/>
      <c r="G27" s="171"/>
      <c r="H27" s="174"/>
    </row>
    <row r="28" spans="1:9" hidden="1">
      <c r="A28" s="170" t="s">
        <v>91</v>
      </c>
      <c r="B28" s="171"/>
      <c r="C28" s="171"/>
      <c r="D28" s="171"/>
      <c r="E28" s="171"/>
      <c r="F28" s="171"/>
      <c r="G28" s="171"/>
      <c r="H28" s="174"/>
    </row>
    <row r="29" spans="1:9" hidden="1">
      <c r="A29" s="170" t="s">
        <v>77</v>
      </c>
      <c r="B29" s="171"/>
      <c r="C29" s="171"/>
      <c r="D29" s="171"/>
      <c r="E29" s="171"/>
      <c r="F29" s="171"/>
      <c r="G29" s="171"/>
      <c r="H29" s="175">
        <f>SUM(H23:H28)</f>
        <v>0</v>
      </c>
    </row>
    <row r="30" spans="1:9">
      <c r="A30" s="231" t="s">
        <v>143</v>
      </c>
      <c r="B30" s="232"/>
      <c r="C30" s="232"/>
      <c r="D30" s="232"/>
      <c r="E30" s="232"/>
      <c r="F30" s="232"/>
      <c r="G30" s="232"/>
      <c r="H30" s="233"/>
    </row>
    <row r="31" spans="1:9">
      <c r="A31" s="79" t="s">
        <v>159</v>
      </c>
      <c r="B31" s="80"/>
      <c r="C31" s="80"/>
      <c r="D31" s="80"/>
      <c r="E31" s="80"/>
      <c r="F31" s="80"/>
      <c r="G31" s="80"/>
      <c r="H31" s="74">
        <v>32000</v>
      </c>
    </row>
    <row r="32" spans="1:9">
      <c r="A32" s="79"/>
      <c r="B32" s="80"/>
      <c r="C32" s="80"/>
      <c r="D32" s="80"/>
      <c r="E32" s="80"/>
      <c r="F32" s="80"/>
      <c r="G32" s="80"/>
      <c r="H32" s="74"/>
    </row>
    <row r="33" spans="1:8">
      <c r="A33" s="79" t="s">
        <v>77</v>
      </c>
      <c r="B33" s="80"/>
      <c r="C33" s="80"/>
      <c r="D33" s="80"/>
      <c r="E33" s="80"/>
      <c r="F33" s="80"/>
      <c r="G33" s="80"/>
      <c r="H33" s="74">
        <f>SUM(H31:H32)</f>
        <v>32000</v>
      </c>
    </row>
    <row r="34" spans="1:8" ht="14.25" customHeight="1">
      <c r="A34" s="209" t="s">
        <v>94</v>
      </c>
      <c r="B34" s="210"/>
      <c r="C34" s="210"/>
      <c r="D34" s="210"/>
      <c r="E34" s="210"/>
      <c r="F34" s="210"/>
      <c r="G34" s="210"/>
      <c r="H34" s="211"/>
    </row>
    <row r="35" spans="1:8" hidden="1">
      <c r="A35" s="170"/>
      <c r="B35" s="171"/>
      <c r="C35" s="171"/>
      <c r="D35" s="171"/>
      <c r="E35" s="171"/>
      <c r="F35" s="171"/>
      <c r="G35" s="171"/>
      <c r="H35" s="173"/>
    </row>
    <row r="36" spans="1:8">
      <c r="A36" s="170" t="s">
        <v>84</v>
      </c>
      <c r="B36" s="176"/>
      <c r="C36" s="171"/>
      <c r="D36" s="171"/>
      <c r="E36" s="171"/>
      <c r="F36" s="171"/>
      <c r="G36" s="171"/>
      <c r="H36" s="242">
        <f>28769.66+1289.97+11609.77</f>
        <v>41669.4</v>
      </c>
    </row>
    <row r="37" spans="1:8">
      <c r="A37" s="79" t="s">
        <v>70</v>
      </c>
      <c r="B37" s="80"/>
      <c r="C37" s="80"/>
      <c r="D37" s="80"/>
      <c r="E37" s="80"/>
      <c r="F37" s="80"/>
      <c r="G37" s="80"/>
      <c r="H37" s="126">
        <v>0</v>
      </c>
    </row>
    <row r="38" spans="1:8">
      <c r="A38" s="79" t="s">
        <v>76</v>
      </c>
      <c r="B38" s="80"/>
      <c r="C38" s="80"/>
      <c r="D38" s="80"/>
      <c r="E38" s="80"/>
      <c r="F38" s="80"/>
      <c r="G38" s="80"/>
      <c r="H38" s="74">
        <f>SUM(H35:H37)</f>
        <v>41669.4</v>
      </c>
    </row>
    <row r="39" spans="1:8">
      <c r="A39" s="209" t="s">
        <v>145</v>
      </c>
      <c r="B39" s="210"/>
      <c r="C39" s="210"/>
      <c r="D39" s="210"/>
      <c r="E39" s="210"/>
      <c r="F39" s="210"/>
      <c r="G39" s="210"/>
      <c r="H39" s="211"/>
    </row>
    <row r="40" spans="1:8" ht="14.25" customHeight="1">
      <c r="A40" s="177" t="s">
        <v>146</v>
      </c>
      <c r="B40" s="171"/>
      <c r="C40" s="171"/>
      <c r="D40" s="171"/>
      <c r="E40" s="171"/>
      <c r="F40" s="171"/>
      <c r="G40" s="171"/>
      <c r="H40" s="242">
        <v>937121.46</v>
      </c>
    </row>
    <row r="41" spans="1:8" ht="14.25" customHeight="1">
      <c r="A41" s="177" t="s">
        <v>149</v>
      </c>
      <c r="B41" s="171"/>
      <c r="C41" s="171"/>
      <c r="D41" s="171"/>
      <c r="E41" s="171"/>
      <c r="F41" s="171"/>
      <c r="G41" s="171"/>
      <c r="H41" s="173">
        <v>435480.04</v>
      </c>
    </row>
    <row r="42" spans="1:8" ht="14.25" customHeight="1">
      <c r="A42" s="177" t="s">
        <v>150</v>
      </c>
      <c r="B42" s="171"/>
      <c r="C42" s="171"/>
      <c r="D42" s="171"/>
      <c r="E42" s="171"/>
      <c r="F42" s="171"/>
      <c r="G42" s="171"/>
      <c r="H42" s="173"/>
    </row>
    <row r="43" spans="1:8">
      <c r="A43" s="178" t="s">
        <v>106</v>
      </c>
      <c r="B43" s="171"/>
      <c r="C43" s="171"/>
      <c r="D43" s="171"/>
      <c r="E43" s="171"/>
      <c r="F43" s="171"/>
      <c r="G43" s="171"/>
      <c r="H43" s="242">
        <v>75376.820000000007</v>
      </c>
    </row>
    <row r="44" spans="1:8">
      <c r="A44" s="177" t="s">
        <v>77</v>
      </c>
      <c r="B44" s="171"/>
      <c r="C44" s="171"/>
      <c r="D44" s="171"/>
      <c r="E44" s="171"/>
      <c r="F44" s="171"/>
      <c r="G44" s="171"/>
      <c r="H44" s="69">
        <f>SUM(H40:H43)</f>
        <v>1447978.32</v>
      </c>
    </row>
    <row r="45" spans="1:8">
      <c r="A45" s="208" t="s">
        <v>147</v>
      </c>
      <c r="B45" s="208"/>
      <c r="C45" s="208"/>
      <c r="D45" s="208"/>
      <c r="E45" s="208"/>
      <c r="F45" s="208"/>
      <c r="G45" s="208"/>
      <c r="H45" s="208"/>
    </row>
    <row r="46" spans="1:8">
      <c r="A46" s="179" t="s">
        <v>71</v>
      </c>
      <c r="B46" s="171"/>
      <c r="C46" s="171"/>
      <c r="D46" s="171"/>
      <c r="E46" s="171"/>
      <c r="F46" s="171"/>
      <c r="G46" s="171"/>
      <c r="H46" s="74">
        <v>47700</v>
      </c>
    </row>
    <row r="47" spans="1:8">
      <c r="A47" s="177" t="s">
        <v>72</v>
      </c>
      <c r="B47" s="171"/>
      <c r="C47" s="171"/>
      <c r="D47" s="171"/>
      <c r="E47" s="171"/>
      <c r="F47" s="171"/>
      <c r="G47" s="171"/>
      <c r="H47" s="243">
        <v>18611.07</v>
      </c>
    </row>
    <row r="48" spans="1:8">
      <c r="A48" s="177" t="s">
        <v>160</v>
      </c>
      <c r="B48" s="171"/>
      <c r="C48" s="171"/>
      <c r="D48" s="171"/>
      <c r="E48" s="171"/>
      <c r="F48" s="171"/>
      <c r="G48" s="171"/>
      <c r="H48" s="74">
        <v>85000</v>
      </c>
    </row>
    <row r="49" spans="1:11">
      <c r="A49" s="177" t="s">
        <v>157</v>
      </c>
      <c r="B49" s="171"/>
      <c r="C49" s="171"/>
      <c r="D49" s="171"/>
      <c r="E49" s="171"/>
      <c r="F49" s="171"/>
      <c r="G49" s="171"/>
      <c r="H49" s="243">
        <v>165000</v>
      </c>
    </row>
    <row r="50" spans="1:11">
      <c r="A50" s="245" t="s">
        <v>156</v>
      </c>
      <c r="B50" s="171"/>
      <c r="C50" s="171"/>
      <c r="D50" s="171"/>
      <c r="E50" s="171"/>
      <c r="F50" s="171"/>
      <c r="G50" s="171"/>
      <c r="H50" s="243">
        <v>100000</v>
      </c>
    </row>
    <row r="51" spans="1:11">
      <c r="A51" s="177" t="s">
        <v>140</v>
      </c>
      <c r="B51" s="171"/>
      <c r="C51" s="171"/>
      <c r="D51" s="171"/>
      <c r="E51" s="171"/>
      <c r="F51" s="171"/>
      <c r="G51" s="171"/>
      <c r="H51" s="74"/>
    </row>
    <row r="52" spans="1:11">
      <c r="A52" s="177" t="s">
        <v>77</v>
      </c>
      <c r="B52" s="171"/>
      <c r="C52" s="171"/>
      <c r="D52" s="171"/>
      <c r="E52" s="171"/>
      <c r="F52" s="171"/>
      <c r="G52" s="171"/>
      <c r="H52" s="70">
        <f>SUM(H46:H51)</f>
        <v>416311.07</v>
      </c>
    </row>
    <row r="53" spans="1:11">
      <c r="A53" s="212" t="s">
        <v>148</v>
      </c>
      <c r="B53" s="213"/>
      <c r="C53" s="213"/>
      <c r="D53" s="213"/>
      <c r="E53" s="213"/>
      <c r="F53" s="213"/>
      <c r="G53" s="213"/>
      <c r="H53" s="214"/>
    </row>
    <row r="54" spans="1:11">
      <c r="A54" s="177" t="s">
        <v>73</v>
      </c>
      <c r="B54" s="171"/>
      <c r="C54" s="171"/>
      <c r="D54" s="171"/>
      <c r="E54" s="171"/>
      <c r="F54" s="171"/>
      <c r="G54" s="171"/>
      <c r="H54" s="172">
        <v>139785.35999999999</v>
      </c>
    </row>
    <row r="55" spans="1:11">
      <c r="A55" s="177" t="s">
        <v>125</v>
      </c>
      <c r="B55" s="171"/>
      <c r="C55" s="171"/>
      <c r="D55" s="171"/>
      <c r="E55" s="171"/>
      <c r="F55" s="171"/>
      <c r="G55" s="171"/>
      <c r="H55" s="173">
        <v>28000</v>
      </c>
    </row>
    <row r="56" spans="1:11">
      <c r="A56" s="177" t="s">
        <v>142</v>
      </c>
      <c r="B56" s="171"/>
      <c r="C56" s="171"/>
      <c r="D56" s="171"/>
      <c r="E56" s="171"/>
      <c r="F56" s="171"/>
      <c r="G56" s="171"/>
      <c r="H56" s="173">
        <v>3000</v>
      </c>
    </row>
    <row r="57" spans="1:11">
      <c r="A57" s="171" t="s">
        <v>76</v>
      </c>
      <c r="B57" s="171"/>
      <c r="C57" s="171"/>
      <c r="D57" s="171"/>
      <c r="E57" s="171"/>
      <c r="F57" s="171"/>
      <c r="G57" s="171"/>
      <c r="H57" s="69">
        <f>SUM(H54:H56)</f>
        <v>170785.36</v>
      </c>
      <c r="K57" s="7"/>
    </row>
    <row r="58" spans="1:11" s="6" customFormat="1">
      <c r="A58" s="212" t="s">
        <v>151</v>
      </c>
      <c r="B58" s="213"/>
      <c r="C58" s="213"/>
      <c r="D58" s="213"/>
      <c r="E58" s="213"/>
      <c r="F58" s="213"/>
      <c r="G58" s="213"/>
      <c r="H58" s="214"/>
    </row>
    <row r="59" spans="1:11" s="6" customFormat="1">
      <c r="A59" s="81" t="s">
        <v>127</v>
      </c>
      <c r="B59" s="81"/>
      <c r="C59" s="81"/>
      <c r="D59" s="81"/>
      <c r="E59" s="81"/>
      <c r="F59" s="81"/>
      <c r="G59" s="81"/>
      <c r="H59" s="244">
        <v>20546.41</v>
      </c>
      <c r="I59" s="60"/>
    </row>
    <row r="60" spans="1:11" s="6" customFormat="1">
      <c r="A60" s="81" t="s">
        <v>77</v>
      </c>
      <c r="B60" s="81"/>
      <c r="C60" s="81"/>
      <c r="D60" s="81"/>
      <c r="E60" s="81"/>
      <c r="F60" s="81"/>
      <c r="G60" s="81"/>
      <c r="H60" s="70">
        <f>SUM(H59)</f>
        <v>20546.41</v>
      </c>
    </row>
    <row r="61" spans="1:11" s="6" customFormat="1">
      <c r="A61" s="208" t="s">
        <v>152</v>
      </c>
      <c r="B61" s="208"/>
      <c r="C61" s="208"/>
      <c r="D61" s="208"/>
      <c r="E61" s="208"/>
      <c r="F61" s="208"/>
      <c r="G61" s="208"/>
      <c r="H61" s="208"/>
    </row>
    <row r="62" spans="1:11" s="6" customFormat="1">
      <c r="A62" s="81" t="s">
        <v>144</v>
      </c>
      <c r="B62" s="81"/>
      <c r="C62" s="81"/>
      <c r="D62" s="81"/>
      <c r="E62" s="81"/>
      <c r="F62" s="81"/>
      <c r="G62" s="81"/>
      <c r="H62" s="70">
        <v>100000</v>
      </c>
    </row>
    <row r="63" spans="1:11" s="6" customFormat="1">
      <c r="A63" s="81"/>
      <c r="B63" s="81"/>
      <c r="C63" s="81"/>
      <c r="D63" s="81"/>
      <c r="E63" s="81"/>
      <c r="F63" s="81"/>
      <c r="G63" s="81"/>
      <c r="H63" s="70"/>
    </row>
    <row r="64" spans="1:11" s="6" customFormat="1">
      <c r="A64" s="81"/>
      <c r="B64" s="81"/>
      <c r="C64" s="81"/>
      <c r="D64" s="81"/>
      <c r="E64" s="81"/>
      <c r="F64" s="81"/>
      <c r="G64" s="81"/>
      <c r="H64" s="70">
        <v>0</v>
      </c>
    </row>
    <row r="65" spans="1:9" s="6" customFormat="1" ht="21" customHeight="1">
      <c r="A65" s="81" t="s">
        <v>78</v>
      </c>
      <c r="B65" s="81"/>
      <c r="C65" s="81"/>
      <c r="D65" s="81"/>
      <c r="E65" s="81"/>
      <c r="F65" s="81"/>
      <c r="G65" s="81"/>
      <c r="H65" s="70">
        <f>SUM(H62:H64)</f>
        <v>100000</v>
      </c>
      <c r="I65" s="60"/>
    </row>
    <row r="66" spans="1:9" s="6" customFormat="1" ht="18" customHeight="1">
      <c r="A66" s="212"/>
      <c r="B66" s="213"/>
      <c r="C66" s="213"/>
      <c r="D66" s="213"/>
      <c r="E66" s="213"/>
      <c r="F66" s="213"/>
      <c r="G66" s="213"/>
      <c r="H66" s="214"/>
    </row>
    <row r="67" spans="1:9" s="6" customFormat="1" ht="23.25" hidden="1" customHeight="1">
      <c r="A67" s="82"/>
      <c r="B67" s="83"/>
      <c r="C67" s="83"/>
      <c r="D67" s="83"/>
      <c r="E67" s="83"/>
      <c r="F67" s="83"/>
      <c r="G67" s="83"/>
      <c r="H67" s="180">
        <v>0</v>
      </c>
    </row>
    <row r="68" spans="1:9" s="6" customFormat="1" ht="20.25" hidden="1" customHeight="1">
      <c r="A68" s="181"/>
      <c r="B68" s="182"/>
      <c r="C68" s="182"/>
      <c r="D68" s="182"/>
      <c r="E68" s="182"/>
      <c r="F68" s="182"/>
      <c r="G68" s="182"/>
      <c r="H68" s="183">
        <v>0</v>
      </c>
    </row>
    <row r="69" spans="1:9" s="6" customFormat="1" ht="18" hidden="1" customHeight="1">
      <c r="A69" s="184"/>
      <c r="B69" s="185"/>
      <c r="C69" s="185"/>
      <c r="D69" s="185"/>
      <c r="E69" s="185"/>
      <c r="F69" s="185"/>
      <c r="G69" s="185"/>
      <c r="H69" s="180">
        <f>H67+H68</f>
        <v>0</v>
      </c>
    </row>
    <row r="70" spans="1:9" s="6" customFormat="1" ht="18" hidden="1" customHeight="1">
      <c r="A70" s="223" t="s">
        <v>86</v>
      </c>
      <c r="B70" s="224"/>
      <c r="C70" s="224"/>
      <c r="D70" s="224"/>
      <c r="E70" s="224"/>
      <c r="F70" s="224"/>
      <c r="G70" s="224"/>
      <c r="H70" s="186">
        <f>H65</f>
        <v>100000</v>
      </c>
    </row>
    <row r="71" spans="1:9" s="6" customFormat="1" ht="18" customHeight="1">
      <c r="A71" s="226"/>
      <c r="B71" s="226"/>
      <c r="C71" s="226"/>
      <c r="D71" s="226"/>
      <c r="E71" s="226"/>
      <c r="F71" s="226"/>
      <c r="G71" s="226"/>
      <c r="H71" s="226"/>
    </row>
    <row r="72" spans="1:9" s="6" customFormat="1" ht="86.25" hidden="1" customHeight="1">
      <c r="A72" s="227"/>
      <c r="B72" s="227"/>
      <c r="C72" s="227"/>
      <c r="D72" s="227"/>
      <c r="E72" s="227"/>
      <c r="F72" s="227"/>
      <c r="G72" s="227"/>
      <c r="H72" s="227"/>
    </row>
    <row r="73" spans="1:9" s="6" customFormat="1" ht="18" customHeight="1">
      <c r="A73" s="225" t="s">
        <v>88</v>
      </c>
      <c r="B73" s="225"/>
      <c r="C73" s="225"/>
      <c r="D73" s="225"/>
      <c r="E73" s="225"/>
      <c r="F73" s="225"/>
      <c r="G73" s="225"/>
      <c r="H73" s="187"/>
    </row>
    <row r="74" spans="1:9" s="6" customFormat="1">
      <c r="A74" s="237"/>
      <c r="B74" s="238"/>
      <c r="C74" s="238"/>
      <c r="D74" s="238"/>
      <c r="E74" s="238"/>
      <c r="F74" s="238"/>
      <c r="G74" s="239"/>
      <c r="H74" s="74"/>
    </row>
    <row r="75" spans="1:9" s="6" customFormat="1" ht="32.25" customHeight="1">
      <c r="A75" s="237"/>
      <c r="B75" s="238"/>
      <c r="C75" s="238"/>
      <c r="D75" s="238"/>
      <c r="E75" s="238"/>
      <c r="F75" s="238"/>
      <c r="G75" s="239"/>
      <c r="H75" s="74"/>
    </row>
    <row r="76" spans="1:9" s="6" customFormat="1" ht="14.1" customHeight="1">
      <c r="A76" s="132"/>
      <c r="B76" s="133"/>
      <c r="C76" s="133"/>
      <c r="D76" s="133"/>
      <c r="E76" s="133"/>
      <c r="F76" s="133"/>
      <c r="G76" s="134"/>
      <c r="H76" s="74"/>
    </row>
    <row r="77" spans="1:9" s="6" customFormat="1" ht="18" customHeight="1">
      <c r="A77" s="135" t="s">
        <v>77</v>
      </c>
      <c r="B77" s="81"/>
      <c r="C77" s="81"/>
      <c r="D77" s="81"/>
      <c r="E77" s="81"/>
      <c r="F77" s="81"/>
      <c r="G77" s="81"/>
      <c r="H77" s="70">
        <f>SUM(H74:H76)</f>
        <v>0</v>
      </c>
    </row>
    <row r="78" spans="1:9" s="6" customFormat="1" ht="18" customHeight="1" thickBot="1">
      <c r="A78" s="136"/>
      <c r="B78" s="136"/>
      <c r="C78" s="136"/>
      <c r="D78" s="136"/>
      <c r="E78" s="136"/>
      <c r="F78" s="136"/>
      <c r="G78" s="136"/>
      <c r="H78" s="137"/>
    </row>
    <row r="79" spans="1:9" s="6" customFormat="1" ht="18" customHeight="1" thickBot="1">
      <c r="A79" s="204" t="s">
        <v>87</v>
      </c>
      <c r="B79" s="205"/>
      <c r="C79" s="205"/>
      <c r="D79" s="205"/>
      <c r="E79" s="205"/>
      <c r="F79" s="205"/>
      <c r="G79" s="205"/>
      <c r="H79" s="138">
        <f>H77</f>
        <v>0</v>
      </c>
    </row>
    <row r="80" spans="1:9" s="6" customFormat="1" ht="18" customHeight="1" thickBot="1">
      <c r="A80" s="218" t="s">
        <v>95</v>
      </c>
      <c r="B80" s="219"/>
      <c r="C80" s="219"/>
      <c r="D80" s="219"/>
      <c r="E80" s="219"/>
      <c r="F80" s="219"/>
      <c r="G80" s="220"/>
      <c r="H80" s="138"/>
    </row>
    <row r="81" spans="1:11" s="6" customFormat="1" ht="18" customHeight="1" thickBot="1">
      <c r="A81" s="218" t="s">
        <v>100</v>
      </c>
      <c r="B81" s="219"/>
      <c r="C81" s="219"/>
      <c r="D81" s="219"/>
      <c r="E81" s="219"/>
      <c r="F81" s="219"/>
      <c r="G81" s="220"/>
      <c r="H81" s="138">
        <v>1800000</v>
      </c>
    </row>
    <row r="82" spans="1:11" ht="18">
      <c r="A82" s="204" t="s">
        <v>96</v>
      </c>
      <c r="B82" s="205"/>
      <c r="C82" s="205"/>
      <c r="D82" s="205"/>
      <c r="E82" s="205"/>
      <c r="F82" s="205"/>
      <c r="G82" s="205"/>
      <c r="H82" s="138">
        <f>H33+H44+H52+H57+H60+H38+H21+H29</f>
        <v>2346651.56</v>
      </c>
      <c r="J82" s="7"/>
      <c r="K82" s="150"/>
    </row>
    <row r="83" spans="1:11" ht="18">
      <c r="A83" s="215" t="s">
        <v>130</v>
      </c>
      <c r="B83" s="216"/>
      <c r="C83" s="216"/>
      <c r="D83" s="216"/>
      <c r="E83" s="216"/>
      <c r="F83" s="216"/>
      <c r="G83" s="217"/>
      <c r="H83" s="139">
        <f>H80+H82</f>
        <v>2346651.56</v>
      </c>
      <c r="I83" s="131"/>
      <c r="J83" s="194"/>
      <c r="K83" s="194"/>
    </row>
    <row r="84" spans="1:11" ht="18">
      <c r="A84" s="215" t="s">
        <v>101</v>
      </c>
      <c r="B84" s="216"/>
      <c r="C84" s="216"/>
      <c r="D84" s="216"/>
      <c r="E84" s="216"/>
      <c r="F84" s="216"/>
      <c r="G84" s="217"/>
      <c r="H84" s="140">
        <f>H81+H79</f>
        <v>1800000</v>
      </c>
    </row>
    <row r="85" spans="1:11" ht="20.25" customHeight="1" thickBot="1">
      <c r="A85" s="221" t="s">
        <v>89</v>
      </c>
      <c r="B85" s="222"/>
      <c r="C85" s="222"/>
      <c r="D85" s="222"/>
      <c r="E85" s="222"/>
      <c r="F85" s="222"/>
      <c r="G85" s="222"/>
      <c r="H85" s="141">
        <f>H82+H79</f>
        <v>2346651.56</v>
      </c>
      <c r="J85" s="7"/>
    </row>
    <row r="86" spans="1:11" ht="18" hidden="1">
      <c r="A86" s="206" t="s">
        <v>17</v>
      </c>
      <c r="B86" s="207"/>
      <c r="C86" s="207"/>
      <c r="D86" s="207"/>
      <c r="E86" s="207"/>
      <c r="F86" s="207"/>
      <c r="G86" s="207"/>
      <c r="H86" s="142">
        <f>H69</f>
        <v>0</v>
      </c>
      <c r="J86" s="7"/>
    </row>
    <row r="87" spans="1:11" ht="18" hidden="1">
      <c r="A87" s="143"/>
      <c r="B87" s="143"/>
      <c r="C87" s="143"/>
      <c r="D87" s="143"/>
      <c r="E87" s="143"/>
      <c r="F87" s="143"/>
      <c r="G87" s="143"/>
      <c r="H87" s="144"/>
      <c r="J87" s="7"/>
    </row>
    <row r="88" spans="1:11" ht="18" hidden="1">
      <c r="A88" s="143"/>
      <c r="B88" s="143"/>
      <c r="C88" s="143"/>
      <c r="D88" s="143"/>
      <c r="E88" s="143"/>
      <c r="F88" s="143"/>
      <c r="G88" s="143"/>
      <c r="H88" s="144"/>
      <c r="J88" s="7"/>
    </row>
    <row r="89" spans="1:11" ht="18" hidden="1">
      <c r="A89" s="143"/>
      <c r="B89" s="143"/>
      <c r="C89" s="143"/>
      <c r="D89" s="143"/>
      <c r="E89" s="143"/>
      <c r="F89" s="143"/>
      <c r="G89" s="143"/>
      <c r="H89" s="144"/>
      <c r="J89" s="7"/>
    </row>
    <row r="90" spans="1:11" ht="14.25" customHeight="1">
      <c r="A90" s="145"/>
      <c r="B90" s="145"/>
      <c r="C90" s="145"/>
      <c r="D90" s="145"/>
      <c r="E90" s="145"/>
      <c r="F90" s="145"/>
      <c r="G90" s="145"/>
      <c r="H90" s="145"/>
    </row>
    <row r="91" spans="1:11" ht="18">
      <c r="A91" s="199" t="s">
        <v>10</v>
      </c>
      <c r="B91" s="200"/>
      <c r="C91" s="200"/>
      <c r="D91" s="200"/>
      <c r="E91" s="200"/>
      <c r="F91" s="200"/>
      <c r="G91" s="200"/>
      <c r="H91" s="201"/>
    </row>
    <row r="92" spans="1:11" ht="18">
      <c r="A92" s="146" t="s">
        <v>12</v>
      </c>
      <c r="B92" s="147"/>
      <c r="C92" s="147"/>
      <c r="D92" s="147"/>
      <c r="E92" s="147"/>
      <c r="F92" s="147"/>
      <c r="G92" s="147"/>
      <c r="H92" s="148">
        <v>517126.1110116429</v>
      </c>
    </row>
    <row r="93" spans="1:11">
      <c r="A93" s="82" t="s">
        <v>141</v>
      </c>
      <c r="B93" s="83"/>
      <c r="C93" s="83"/>
      <c r="D93" s="83"/>
      <c r="E93" s="83"/>
      <c r="F93" s="83"/>
      <c r="G93" s="83"/>
      <c r="H93" s="149">
        <f>Planilla!G32</f>
        <v>2164118.5034630927</v>
      </c>
    </row>
    <row r="94" spans="1:11" hidden="1">
      <c r="A94" s="79"/>
      <c r="B94" s="80"/>
      <c r="C94" s="80"/>
      <c r="D94" s="80"/>
      <c r="E94" s="80"/>
      <c r="F94" s="80"/>
      <c r="G94" s="80"/>
      <c r="H94" s="69"/>
    </row>
    <row r="95" spans="1:11" ht="14.25" customHeight="1">
      <c r="A95" s="79" t="s">
        <v>161</v>
      </c>
      <c r="B95" s="80"/>
      <c r="C95" s="80"/>
      <c r="D95" s="80"/>
      <c r="E95" s="80"/>
      <c r="F95" s="80"/>
      <c r="G95" s="80"/>
      <c r="H95" s="69">
        <f>-(H85)</f>
        <v>-2346651.56</v>
      </c>
    </row>
    <row r="96" spans="1:11" hidden="1">
      <c r="A96" s="79"/>
      <c r="B96" s="80"/>
      <c r="C96" s="80"/>
      <c r="D96" s="80"/>
      <c r="E96" s="80"/>
      <c r="F96" s="80"/>
      <c r="G96" s="80"/>
      <c r="H96" s="126"/>
    </row>
    <row r="97" spans="1:9">
      <c r="A97" s="79" t="s">
        <v>90</v>
      </c>
      <c r="B97" s="80"/>
      <c r="C97" s="80"/>
      <c r="D97" s="80"/>
      <c r="E97" s="80"/>
      <c r="F97" s="80"/>
      <c r="G97" s="80"/>
      <c r="H97" s="69">
        <f>-H70</f>
        <v>-100000</v>
      </c>
    </row>
    <row r="98" spans="1:9">
      <c r="A98" s="79" t="s">
        <v>75</v>
      </c>
      <c r="B98" s="80" t="s">
        <v>122</v>
      </c>
      <c r="C98" s="80"/>
      <c r="D98" s="80"/>
      <c r="E98" s="80"/>
      <c r="F98" s="80"/>
      <c r="G98" s="80"/>
      <c r="H98" s="126">
        <v>115393.04</v>
      </c>
    </row>
    <row r="99" spans="1:9">
      <c r="A99" s="79" t="s">
        <v>74</v>
      </c>
      <c r="B99" s="80"/>
      <c r="C99" s="80"/>
      <c r="D99" s="80"/>
      <c r="E99" s="80"/>
      <c r="F99" s="80"/>
      <c r="G99" s="80"/>
      <c r="H99" s="126">
        <f>60243/2</f>
        <v>30121.5</v>
      </c>
      <c r="I99" s="150"/>
    </row>
    <row r="100" spans="1:9">
      <c r="A100" s="12" t="s">
        <v>128</v>
      </c>
      <c r="B100" s="84"/>
      <c r="C100" s="4"/>
      <c r="D100" s="4"/>
      <c r="E100" s="4"/>
      <c r="F100" s="4"/>
      <c r="G100" s="4"/>
      <c r="H100" s="99">
        <v>0</v>
      </c>
    </row>
    <row r="101" spans="1:9" ht="18">
      <c r="A101" s="22" t="s">
        <v>11</v>
      </c>
      <c r="B101" s="23"/>
      <c r="C101" s="23"/>
      <c r="D101" s="23"/>
      <c r="E101" s="23"/>
      <c r="F101" s="23"/>
      <c r="G101" s="23"/>
      <c r="H101" s="85">
        <f>SUM(H92:H100)</f>
        <v>380107.59447473561</v>
      </c>
    </row>
    <row r="102" spans="1:9" ht="15" thickBot="1"/>
    <row r="103" spans="1:9" ht="16.2" thickBot="1">
      <c r="A103" s="196" t="s">
        <v>105</v>
      </c>
      <c r="B103" s="197"/>
      <c r="C103" s="197"/>
      <c r="D103" s="197"/>
      <c r="E103" s="197"/>
      <c r="F103" s="197"/>
      <c r="G103" s="197"/>
      <c r="H103" s="198"/>
    </row>
    <row r="104" spans="1:9" ht="15.6">
      <c r="A104" s="88" t="s">
        <v>12</v>
      </c>
      <c r="B104" s="88"/>
      <c r="C104" s="88"/>
      <c r="D104" s="88"/>
      <c r="E104" s="88"/>
      <c r="F104" s="88"/>
      <c r="G104" s="88"/>
      <c r="H104" s="89">
        <v>0</v>
      </c>
    </row>
    <row r="105" spans="1:9">
      <c r="A105" s="61" t="s">
        <v>129</v>
      </c>
      <c r="B105" s="92"/>
      <c r="C105" s="4"/>
      <c r="D105" s="61"/>
      <c r="E105" s="61"/>
      <c r="F105" s="61"/>
      <c r="G105" s="61"/>
      <c r="H105" s="130"/>
    </row>
    <row r="106" spans="1:9">
      <c r="A106" s="61"/>
      <c r="B106" s="98"/>
      <c r="C106" s="61"/>
      <c r="D106" s="61"/>
      <c r="E106" s="61"/>
      <c r="F106" s="61"/>
      <c r="G106" s="61"/>
      <c r="H106" s="21"/>
    </row>
    <row r="107" spans="1:9">
      <c r="A107" s="61"/>
      <c r="B107" s="61"/>
      <c r="C107" s="61"/>
      <c r="D107" s="61"/>
      <c r="E107" s="61"/>
      <c r="F107" s="61"/>
      <c r="G107" s="61"/>
      <c r="H107" s="21"/>
    </row>
    <row r="108" spans="1:9">
      <c r="A108" s="86" t="s">
        <v>11</v>
      </c>
      <c r="B108" s="86"/>
      <c r="C108" s="86"/>
      <c r="D108" s="86"/>
      <c r="E108" s="86"/>
      <c r="F108" s="86"/>
      <c r="G108" s="86"/>
      <c r="H108" s="87">
        <f>SUM(H104:H107)</f>
        <v>0</v>
      </c>
    </row>
    <row r="111" spans="1:9" hidden="1">
      <c r="A111" s="195"/>
      <c r="B111" s="195"/>
      <c r="C111" s="195"/>
      <c r="D111" s="195"/>
      <c r="E111" s="195"/>
      <c r="F111" s="195"/>
      <c r="G111" s="195"/>
      <c r="H111" s="195"/>
    </row>
    <row r="112" spans="1:9" hidden="1">
      <c r="A112" s="195"/>
      <c r="B112" s="195"/>
      <c r="C112" s="195"/>
      <c r="D112" s="195"/>
      <c r="E112" s="195"/>
      <c r="F112" s="195"/>
      <c r="G112" s="195"/>
      <c r="H112" s="195"/>
    </row>
    <row r="113" spans="1:8" hidden="1">
      <c r="A113" s="195"/>
      <c r="B113" s="195"/>
      <c r="C113" s="195"/>
      <c r="D113" s="195"/>
      <c r="E113" s="195"/>
      <c r="F113" s="195"/>
      <c r="G113" s="195"/>
      <c r="H113" s="195"/>
    </row>
    <row r="114" spans="1:8" hidden="1">
      <c r="A114" s="195"/>
      <c r="B114" s="195"/>
      <c r="C114" s="195"/>
      <c r="D114" s="195"/>
      <c r="E114" s="195"/>
      <c r="F114" s="195"/>
      <c r="G114" s="195"/>
      <c r="H114" s="195"/>
    </row>
  </sheetData>
  <mergeCells count="30">
    <mergeCell ref="D2:H2"/>
    <mergeCell ref="A34:H34"/>
    <mergeCell ref="A81:G81"/>
    <mergeCell ref="A30:H30"/>
    <mergeCell ref="A22:H22"/>
    <mergeCell ref="A74:G74"/>
    <mergeCell ref="A12:H12"/>
    <mergeCell ref="A75:G75"/>
    <mergeCell ref="A83:G83"/>
    <mergeCell ref="A85:G85"/>
    <mergeCell ref="A70:G70"/>
    <mergeCell ref="A79:G79"/>
    <mergeCell ref="A73:G73"/>
    <mergeCell ref="A71:H72"/>
    <mergeCell ref="J83:K83"/>
    <mergeCell ref="A111:H114"/>
    <mergeCell ref="A103:H103"/>
    <mergeCell ref="A91:H91"/>
    <mergeCell ref="E3:H3"/>
    <mergeCell ref="A82:G82"/>
    <mergeCell ref="A86:G86"/>
    <mergeCell ref="A14:H14"/>
    <mergeCell ref="A39:H39"/>
    <mergeCell ref="A45:H45"/>
    <mergeCell ref="A53:H53"/>
    <mergeCell ref="A58:H58"/>
    <mergeCell ref="A61:H61"/>
    <mergeCell ref="A66:H66"/>
    <mergeCell ref="A84:G84"/>
    <mergeCell ref="A80:G80"/>
  </mergeCells>
  <pageMargins left="0.25" right="0.25" top="0.75" bottom="0.75" header="0.3" footer="0.3"/>
  <pageSetup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Planilla</vt:lpstr>
      <vt:lpstr>EXTRAORDINARIAS</vt:lpstr>
      <vt:lpstr>RESUMEN</vt:lpstr>
      <vt:lpstr>Planilla!Área_de_impresión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Sistema</cp:lastModifiedBy>
  <cp:lastPrinted>2025-03-30T18:46:07Z</cp:lastPrinted>
  <dcterms:created xsi:type="dcterms:W3CDTF">2021-10-25T13:53:39Z</dcterms:created>
  <dcterms:modified xsi:type="dcterms:W3CDTF">2025-05-20T14:39:49Z</dcterms:modified>
</cp:coreProperties>
</file>