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Noviembre\"/>
    </mc:Choice>
  </mc:AlternateContent>
  <xr:revisionPtr revIDLastSave="0" documentId="13_ncr:1_{C2F59AA6-C80C-4671-A34D-22CF928137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PRORRATEO!$C$1:$O$51</definedName>
    <definedName name="_xlnm.Print_Area" localSheetId="2">'Recibo '!$E$6:$N$21</definedName>
    <definedName name="_xlnm.Print_Area" localSheetId="0">RESUMEN!$A$1:$E$116</definedName>
  </definedNames>
  <calcPr calcId="181029"/>
</workbook>
</file>

<file path=xl/calcChain.xml><?xml version="1.0" encoding="utf-8"?>
<calcChain xmlns="http://schemas.openxmlformats.org/spreadsheetml/2006/main">
  <c r="E70" i="1" l="1"/>
  <c r="E41" i="1"/>
  <c r="B105" i="1"/>
  <c r="H101" i="1"/>
  <c r="H38" i="2"/>
  <c r="H29" i="2"/>
  <c r="H17" i="2"/>
  <c r="H5" i="2"/>
  <c r="H23" i="2"/>
  <c r="H8" i="2"/>
  <c r="H12" i="2"/>
  <c r="H7" i="2"/>
  <c r="H16" i="2"/>
  <c r="H14" i="2"/>
  <c r="E48" i="1"/>
  <c r="H11" i="2" l="1"/>
  <c r="E64" i="1"/>
  <c r="H34" i="2"/>
  <c r="E45" i="1"/>
  <c r="H35" i="2" l="1"/>
  <c r="H26" i="2"/>
  <c r="H31" i="2"/>
  <c r="H24" i="2"/>
  <c r="H39" i="2"/>
  <c r="H15" i="2" l="1"/>
  <c r="L14" i="2" l="1"/>
  <c r="J39" i="2" l="1"/>
  <c r="E60" i="1" l="1"/>
  <c r="E68" i="1"/>
  <c r="H25" i="2" l="1"/>
  <c r="H9" i="2" l="1"/>
  <c r="H28" i="2" l="1"/>
  <c r="H10" i="2" l="1"/>
  <c r="E33" i="1" l="1"/>
  <c r="E37" i="1"/>
  <c r="E72" i="1" l="1"/>
  <c r="H33" i="3" l="1"/>
  <c r="H30" i="2" l="1"/>
  <c r="J20" i="3"/>
  <c r="F15" i="3"/>
  <c r="G14" i="3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5" i="2"/>
  <c r="C79" i="1"/>
  <c r="B85" i="1" s="1"/>
  <c r="B86" i="1" l="1"/>
  <c r="J19" i="2" l="1"/>
  <c r="C115" i="1" l="1"/>
  <c r="F41" i="2" l="1"/>
  <c r="L6" i="2"/>
  <c r="L7" i="2"/>
  <c r="L8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5" i="2"/>
  <c r="K41" i="2"/>
  <c r="G41" i="2"/>
  <c r="J12" i="2"/>
  <c r="H37" i="2"/>
  <c r="J34" i="2"/>
  <c r="J17" i="2"/>
  <c r="J28" i="2"/>
  <c r="L38" i="3" s="1"/>
  <c r="J24" i="2"/>
  <c r="J21" i="2"/>
  <c r="J6" i="2"/>
  <c r="J7" i="2"/>
  <c r="J8" i="2"/>
  <c r="J9" i="2"/>
  <c r="J10" i="2"/>
  <c r="J11" i="2"/>
  <c r="J13" i="2"/>
  <c r="J14" i="2"/>
  <c r="N14" i="2" s="1"/>
  <c r="J15" i="2"/>
  <c r="J18" i="2"/>
  <c r="J20" i="2"/>
  <c r="J22" i="2"/>
  <c r="J23" i="2"/>
  <c r="J25" i="2"/>
  <c r="J27" i="2"/>
  <c r="J29" i="2"/>
  <c r="J31" i="2"/>
  <c r="J32" i="2"/>
  <c r="J33" i="2"/>
  <c r="J36" i="2"/>
  <c r="J38" i="2"/>
  <c r="J40" i="2"/>
  <c r="J5" i="2"/>
  <c r="J37" i="2" l="1"/>
  <c r="H41" i="2"/>
  <c r="N21" i="2"/>
  <c r="J35" i="2"/>
  <c r="N35" i="2" s="1"/>
  <c r="N9" i="2"/>
  <c r="N17" i="2"/>
  <c r="N13" i="2"/>
  <c r="N29" i="2"/>
  <c r="N22" i="2"/>
  <c r="N18" i="2"/>
  <c r="N33" i="2"/>
  <c r="N38" i="2"/>
  <c r="N25" i="2"/>
  <c r="N10" i="2"/>
  <c r="N37" i="2"/>
  <c r="N20" i="2"/>
  <c r="N19" i="2"/>
  <c r="N34" i="2"/>
  <c r="L41" i="2"/>
  <c r="N15" i="2"/>
  <c r="J30" i="2"/>
  <c r="N30" i="2" s="1"/>
  <c r="N5" i="2"/>
  <c r="N27" i="2"/>
  <c r="N40" i="2"/>
  <c r="N36" i="2"/>
  <c r="N32" i="2"/>
  <c r="N8" i="2"/>
  <c r="N6" i="2"/>
  <c r="N39" i="2"/>
  <c r="N31" i="2"/>
  <c r="N11" i="2"/>
  <c r="N7" i="2"/>
  <c r="N12" i="2"/>
  <c r="N24" i="2"/>
  <c r="N23" i="2"/>
  <c r="N28" i="2"/>
  <c r="M41" i="2"/>
  <c r="I43" i="2" l="1"/>
  <c r="J26" i="2"/>
  <c r="N26" i="2" s="1"/>
  <c r="B84" i="1"/>
  <c r="O23" i="2"/>
  <c r="O12" i="2"/>
  <c r="O10" i="2"/>
  <c r="O20" i="2"/>
  <c r="O31" i="2"/>
  <c r="O38" i="2"/>
  <c r="O40" i="2"/>
  <c r="B104" i="1" l="1"/>
  <c r="B109" i="1" s="1"/>
  <c r="B87" i="1"/>
  <c r="B97" i="1" s="1"/>
  <c r="B98" i="1" s="1"/>
  <c r="O28" i="2"/>
  <c r="O5" i="2"/>
  <c r="O11" i="2"/>
  <c r="O39" i="2"/>
  <c r="O36" i="2"/>
  <c r="O32" i="2"/>
  <c r="O26" i="2"/>
  <c r="O34" i="2"/>
  <c r="O30" i="2"/>
  <c r="O13" i="2"/>
  <c r="O9" i="2"/>
  <c r="O7" i="2"/>
  <c r="O21" i="2"/>
  <c r="O33" i="2"/>
  <c r="O29" i="2"/>
  <c r="O18" i="2"/>
  <c r="O8" i="2"/>
  <c r="O15" i="2"/>
  <c r="O24" i="2"/>
  <c r="O25" i="2"/>
  <c r="O6" i="2"/>
  <c r="O17" i="2"/>
  <c r="O19" i="2"/>
  <c r="O22" i="2"/>
  <c r="O27" i="2"/>
  <c r="O35" i="2"/>
  <c r="O14" i="2"/>
  <c r="O37" i="2"/>
  <c r="G101" i="1" l="1"/>
  <c r="H102" i="1" s="1"/>
  <c r="B83" i="1"/>
  <c r="J16" i="2"/>
  <c r="I42" i="2"/>
  <c r="H44" i="2" s="1"/>
  <c r="N16" i="2" l="1"/>
  <c r="N41" i="2" s="1"/>
  <c r="J41" i="2"/>
  <c r="B94" i="1"/>
  <c r="O16" i="2" l="1"/>
  <c r="O41" i="2" s="1"/>
</calcChain>
</file>

<file path=xl/sharedStrings.xml><?xml version="1.0" encoding="utf-8"?>
<sst xmlns="http://schemas.openxmlformats.org/spreadsheetml/2006/main" count="270" uniqueCount="188">
  <si>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</si>
  <si>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</si>
  <si>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</si>
  <si>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</si>
  <si>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</si>
  <si>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</si>
  <si>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</si>
  <si>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</si>
  <si>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</si>
  <si>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</si>
  <si>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</si>
  <si>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</si>
  <si>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</si>
  <si>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</si>
  <si>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</si>
  <si>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</si>
  <si>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</si>
  <si>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</si>
  <si>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</si>
  <si>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</si>
  <si>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</si>
  <si>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</si>
  <si>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</si>
  <si>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</si>
  <si>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</si>
  <si>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</si>
  <si>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</si>
  <si>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</si>
  <si>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</si>
  <si>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</si>
  <si>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</si>
  <si>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</si>
  <si>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</si>
  <si>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</si>
  <si>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</si>
  <si>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</si>
  <si>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</si>
  <si>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</si>
  <si>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</si>
  <si>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</si>
  <si>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</si>
  <si>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</si>
  <si>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</si>
  <si>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</si>
  <si>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</si>
  <si>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</si>
  <si>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</si>
  <si>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</si>
  <si>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</si>
  <si>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</si>
  <si>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</si>
  <si>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</si>
  <si>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</si>
  <si>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</si>
  <si>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</si>
  <si>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</si>
  <si>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</si>
  <si>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</si>
  <si>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</si>
  <si>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</si>
  <si>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</si>
  <si>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</si>
  <si>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</si>
  <si>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</si>
  <si>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</si>
  <si>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</si>
  <si>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</si>
  <si>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</si>
  <si>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</si>
  <si>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</si>
  <si>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</si>
  <si>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</si>
  <si>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</si>
  <si>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</si>
  <si>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</si>
  <si>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</si>
  <si>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</si>
  <si>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</si>
  <si>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</si>
  <si>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</si>
  <si>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</si>
  <si>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</si>
  <si>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</si>
  <si>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</si>
  <si>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</si>
  <si>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</si>
  <si>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</si>
  <si>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</si>
  <si>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</si>
  <si>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</si>
  <si>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</si>
  <si>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</si>
  <si>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</si>
  <si>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</si>
  <si>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</si>
  <si>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</si>
  <si>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</si>
  <si>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</si>
  <si>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</si>
  <si>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</si>
  <si>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</si>
  <si>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</si>
  <si>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</si>
  <si>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</si>
  <si>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</si>
  <si>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</si>
  <si>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</si>
  <si>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</si>
  <si>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</si>
  <si>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</si>
  <si>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</si>
  <si>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</si>
  <si>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</si>
  <si>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</si>
  <si>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</si>
  <si>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</si>
  <si>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</si>
  <si>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</si>
  <si>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</si>
  <si>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</si>
  <si>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 xml:space="preserve">EDESUR Nro de cliente : 01121995   </t>
  </si>
  <si>
    <t>TSG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</si>
  <si>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</si>
  <si>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</si>
  <si>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</si>
  <si>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</si>
  <si>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</si>
  <si>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</si>
  <si>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</si>
  <si>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</si>
  <si>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HONORARIOS</t>
  </si>
  <si>
    <t>HONORARIOS administracion</t>
  </si>
  <si>
    <t>RAMOS PAMELA</t>
  </si>
  <si>
    <t>MP:1148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</si>
  <si>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</si>
  <si>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</si>
  <si>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</si>
  <si>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</si>
  <si>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</si>
  <si>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</si>
  <si>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Domicilio: Dr. Melo Nº 2958 - 8vo piso (cita previa) Lanus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</si>
  <si>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</si>
  <si>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</si>
  <si>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</si>
  <si>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</si>
  <si>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</si>
  <si>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</si>
  <si>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</si>
  <si>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</si>
  <si>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</si>
  <si>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</si>
  <si>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</si>
  <si>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</si>
  <si>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</si>
  <si>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</si>
  <si>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</si>
  <si>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</si>
  <si>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</si>
  <si>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</si>
  <si>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</si>
  <si>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</si>
  <si>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</si>
  <si>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</si>
  <si>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</si>
  <si>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Olga</t>
  </si>
  <si>
    <t>ESTA ES LARROCA</t>
  </si>
  <si>
    <t>RUSSO</t>
  </si>
  <si>
    <t xml:space="preserve">PREVISION ORDINARIA </t>
  </si>
  <si>
    <t>Nestor</t>
  </si>
  <si>
    <t>MARIA GARCIA CRISTINA</t>
  </si>
  <si>
    <t>Fernanda</t>
  </si>
  <si>
    <t xml:space="preserve">R DE FIORE </t>
  </si>
  <si>
    <t>Gasto part.</t>
  </si>
  <si>
    <t>ES DE CARÁCTER OBLIGATORIO ENVIAR LOS COMPROBANTES DE TRANSFERENCIAS. DE LO CONTRARIO, DEBEN REVISAR EN LA PARTE INFERIOR QUE HAY DEPOSITOS NO IDENTIFICADOS. LA LINEA GRIS CORRESPONDE A UN PLAN DE PAGO EN VIGENCIA.</t>
  </si>
  <si>
    <t>TOTAL REEMPLAZO</t>
  </si>
  <si>
    <t>No hay encargado</t>
  </si>
  <si>
    <t>Efectivo</t>
  </si>
  <si>
    <t>Servicio de fumigacion - Sr. Pastorizza</t>
  </si>
  <si>
    <t>Plan de pagos vigente  -3A</t>
  </si>
  <si>
    <t>VTO 15/12</t>
  </si>
  <si>
    <t>PERÍODO: NOVIEMBRE</t>
  </si>
  <si>
    <t>Mes de NOVIEMBRE</t>
  </si>
  <si>
    <t>AYSA  - Mes de NOVIEMBRE</t>
  </si>
  <si>
    <t>Metrogas NOVIEMBRE</t>
  </si>
  <si>
    <t>Cuota 11</t>
  </si>
  <si>
    <t>Aumentados en N0v</t>
  </si>
  <si>
    <t>Plan de pagos vigente  - 6D</t>
  </si>
  <si>
    <t>Traspaso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</si>
</sst>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  <numFmt numFmtId="168" formatCode="_-&quot;$&quot;\ * #,##0.0_-;\-&quot;$&quot;\ * #,##0.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0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0" xfId="0" applyFont="1"/>
    <xf numFmtId="0" fontId="13" fillId="0" borderId="39" xfId="0" applyFont="1" applyBorder="1"/>
    <xf numFmtId="0" fontId="13" fillId="0" borderId="40" xfId="0" applyFont="1" applyBorder="1"/>
    <xf numFmtId="0" fontId="13" fillId="0" borderId="41" xfId="0" applyFont="1" applyBorder="1"/>
    <xf numFmtId="166" fontId="13" fillId="2" borderId="0" xfId="0" applyNumberFormat="1" applyFont="1" applyFill="1"/>
    <xf numFmtId="1" fontId="13" fillId="0" borderId="0" xfId="0" applyNumberFormat="1" applyFont="1"/>
    <xf numFmtId="0" fontId="13" fillId="0" borderId="45" xfId="0" applyFont="1" applyBorder="1"/>
    <xf numFmtId="0" fontId="13" fillId="0" borderId="46" xfId="0" applyFont="1" applyBorder="1"/>
    <xf numFmtId="0" fontId="13" fillId="0" borderId="47" xfId="0" applyFont="1" applyBorder="1"/>
    <xf numFmtId="0" fontId="13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6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8" fillId="2" borderId="1" xfId="1" applyFont="1" applyFill="1" applyBorder="1"/>
    <xf numFmtId="44" fontId="5" fillId="2" borderId="1" xfId="1" applyFont="1" applyFill="1" applyBorder="1" applyAlignment="1">
      <alignment horizontal="right"/>
    </xf>
    <xf numFmtId="44" fontId="5" fillId="2" borderId="1" xfId="1" applyFont="1" applyFill="1" applyBorder="1"/>
    <xf numFmtId="168" fontId="2" fillId="0" borderId="1" xfId="1" applyNumberFormat="1" applyFont="1" applyBorder="1"/>
    <xf numFmtId="0" fontId="0" fillId="2" borderId="0" xfId="0" applyFill="1"/>
    <xf numFmtId="0" fontId="9" fillId="12" borderId="1" xfId="0" applyFont="1" applyFill="1" applyBorder="1"/>
    <xf numFmtId="0" fontId="0" fillId="12" borderId="1" xfId="0" applyFill="1" applyBorder="1"/>
    <xf numFmtId="44" fontId="2" fillId="12" borderId="1" xfId="1" applyFont="1" applyFill="1" applyBorder="1"/>
    <xf numFmtId="165" fontId="2" fillId="12" borderId="1" xfId="1" applyNumberFormat="1" applyFont="1" applyFill="1" applyBorder="1"/>
    <xf numFmtId="165" fontId="0" fillId="12" borderId="1" xfId="0" applyNumberFormat="1" applyFill="1" applyBorder="1"/>
    <xf numFmtId="165" fontId="1" fillId="12" borderId="1" xfId="1" applyNumberFormat="1" applyFont="1" applyFill="1" applyBorder="1"/>
    <xf numFmtId="165" fontId="0" fillId="12" borderId="1" xfId="1" applyNumberFormat="1" applyFont="1" applyFill="1" applyBorder="1"/>
    <xf numFmtId="165" fontId="3" fillId="12" borderId="1" xfId="1" applyNumberFormat="1" applyFont="1" applyFill="1" applyBorder="1"/>
    <xf numFmtId="44" fontId="0" fillId="12" borderId="1" xfId="1" applyFont="1" applyFill="1" applyBorder="1"/>
    <xf numFmtId="0" fontId="17" fillId="2" borderId="0" xfId="0" applyFont="1" applyFill="1" applyAlignment="1">
      <alignment vertical="center" wrapText="1"/>
    </xf>
    <xf numFmtId="165" fontId="19" fillId="0" borderId="1" xfId="1" applyNumberFormat="1" applyFont="1" applyBorder="1"/>
    <xf numFmtId="44" fontId="2" fillId="2" borderId="1" xfId="1" applyFont="1" applyFill="1" applyBorder="1" applyAlignment="1">
      <alignment horizontal="right"/>
    </xf>
    <xf numFmtId="165" fontId="19" fillId="12" borderId="1" xfId="1" applyNumberFormat="1" applyFont="1" applyFill="1" applyBorder="1"/>
    <xf numFmtId="0" fontId="8" fillId="2" borderId="1" xfId="0" applyFont="1" applyFill="1" applyBorder="1"/>
    <xf numFmtId="44" fontId="2" fillId="2" borderId="6" xfId="1" applyFont="1" applyFill="1" applyBorder="1"/>
    <xf numFmtId="44" fontId="2" fillId="2" borderId="0" xfId="1" applyFont="1" applyFill="1" applyBorder="1"/>
    <xf numFmtId="44" fontId="0" fillId="0" borderId="0" xfId="0" applyNumberFormat="1" applyAlignment="1">
      <alignment wrapText="1"/>
    </xf>
    <xf numFmtId="0" fontId="6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/>
    </xf>
    <xf numFmtId="0" fontId="12" fillId="0" borderId="37" xfId="0" applyFont="1" applyBorder="1"/>
    <xf numFmtId="0" fontId="13" fillId="0" borderId="36" xfId="0" applyFont="1" applyBorder="1"/>
    <xf numFmtId="0" fontId="13" fillId="0" borderId="47" xfId="0" applyFont="1" applyBorder="1"/>
    <xf numFmtId="0" fontId="12" fillId="0" borderId="48" xfId="0" applyFont="1" applyBorder="1"/>
    <xf numFmtId="167" fontId="13" fillId="11" borderId="31" xfId="0" applyNumberFormat="1" applyFont="1" applyFill="1" applyBorder="1" applyAlignment="1">
      <alignment horizontal="center"/>
    </xf>
    <xf numFmtId="0" fontId="12" fillId="0" borderId="33" xfId="0" applyFont="1" applyBorder="1"/>
    <xf numFmtId="0" fontId="11" fillId="10" borderId="31" xfId="0" applyFont="1" applyFill="1" applyBorder="1" applyAlignment="1">
      <alignment horizontal="center"/>
    </xf>
    <xf numFmtId="0" fontId="12" fillId="0" borderId="32" xfId="0" applyFont="1" applyBorder="1"/>
    <xf numFmtId="0" fontId="14" fillId="0" borderId="31" xfId="0" applyFont="1" applyBorder="1" applyAlignment="1">
      <alignment horizontal="center"/>
    </xf>
    <xf numFmtId="0" fontId="13" fillId="11" borderId="42" xfId="0" applyFont="1" applyFill="1" applyBorder="1" applyAlignment="1">
      <alignment horizontal="center"/>
    </xf>
    <xf numFmtId="0" fontId="12" fillId="0" borderId="43" xfId="0" applyFont="1" applyBorder="1"/>
    <xf numFmtId="0" fontId="12" fillId="0" borderId="44" xfId="0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tabSelected="1" topLeftCell="A62" workbookViewId="0">
      <selection activeCell="E70" sqref="E70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8" width="14" bestFit="1" customWidth="1"/>
    <col min="11" max="11" width="18" customWidth="1"/>
    <col min="12" max="12" width="18.28515625" customWidth="1"/>
  </cols>
  <sheetData>
    <row r="1" spans="1:5" ht="15.75" thickBot="1" x14ac:dyDescent="0.3">
      <c r="A1" s="57"/>
      <c r="B1" s="58" t="s">
        <v>140</v>
      </c>
      <c r="C1" s="57"/>
      <c r="D1" s="57"/>
      <c r="E1" s="57"/>
    </row>
    <row r="2" spans="1:5" ht="30" x14ac:dyDescent="0.25">
      <c r="A2" s="59"/>
      <c r="B2" s="60" t="s">
        <v>136</v>
      </c>
      <c r="C2" s="61"/>
      <c r="D2" s="61"/>
      <c r="E2" s="62"/>
    </row>
    <row r="3" spans="1:5" x14ac:dyDescent="0.25">
      <c r="A3" s="63"/>
      <c r="B3" s="64" t="s">
        <v>46</v>
      </c>
      <c r="C3" s="64"/>
      <c r="D3" s="64"/>
      <c r="E3" s="65"/>
    </row>
    <row r="4" spans="1:5" ht="15" customHeight="1" x14ac:dyDescent="0.25">
      <c r="A4" s="63"/>
      <c r="B4" s="64" t="s">
        <v>161</v>
      </c>
      <c r="C4" s="64" t="s">
        <v>160</v>
      </c>
      <c r="D4" s="64"/>
      <c r="E4" s="65"/>
    </row>
    <row r="5" spans="1:5" ht="15" customHeight="1" thickBot="1" x14ac:dyDescent="0.3">
      <c r="A5" s="63"/>
      <c r="B5" s="64" t="s">
        <v>162</v>
      </c>
      <c r="C5" s="64"/>
      <c r="D5" s="64"/>
      <c r="E5" s="65"/>
    </row>
    <row r="6" spans="1:5" ht="15.75" thickBot="1" x14ac:dyDescent="0.3">
      <c r="A6" s="66" t="s">
        <v>0</v>
      </c>
      <c r="B6" s="67" t="s">
        <v>180</v>
      </c>
      <c r="C6" s="67"/>
      <c r="D6" s="67" t="s">
        <v>133</v>
      </c>
      <c r="E6" s="68"/>
    </row>
    <row r="7" spans="1:5" ht="15.75" thickBot="1" x14ac:dyDescent="0.3">
      <c r="A7" s="63"/>
      <c r="B7" s="64"/>
      <c r="C7" s="64"/>
      <c r="D7" s="64"/>
      <c r="E7" s="65"/>
    </row>
    <row r="8" spans="1:5" ht="15.75" thickBot="1" x14ac:dyDescent="0.3">
      <c r="A8" s="66" t="s">
        <v>45</v>
      </c>
      <c r="B8" s="67"/>
      <c r="C8" s="67"/>
      <c r="D8" s="67"/>
      <c r="E8" s="68"/>
    </row>
    <row r="9" spans="1:5" x14ac:dyDescent="0.25">
      <c r="A9" s="69"/>
      <c r="B9" s="69"/>
      <c r="C9" s="69"/>
      <c r="D9" s="69"/>
      <c r="E9" s="69"/>
    </row>
    <row r="10" spans="1:5" hidden="1" x14ac:dyDescent="0.25">
      <c r="A10" s="69"/>
      <c r="B10" s="69"/>
      <c r="C10" s="69"/>
      <c r="D10" s="69"/>
      <c r="E10" s="69"/>
    </row>
    <row r="11" spans="1:5" hidden="1" x14ac:dyDescent="0.25">
      <c r="A11" s="69"/>
      <c r="B11" s="69"/>
      <c r="C11" s="69"/>
      <c r="D11" s="69"/>
      <c r="E11" s="69"/>
    </row>
    <row r="12" spans="1:5" hidden="1" x14ac:dyDescent="0.25">
      <c r="A12" s="69"/>
      <c r="B12" s="69"/>
      <c r="C12" s="69"/>
      <c r="D12" s="69"/>
      <c r="E12" s="69"/>
    </row>
    <row r="13" spans="1:5" hidden="1" x14ac:dyDescent="0.25">
      <c r="A13" s="69"/>
      <c r="B13" s="69"/>
      <c r="C13" s="69"/>
      <c r="D13" s="69"/>
      <c r="E13" s="69"/>
    </row>
    <row r="14" spans="1:5" x14ac:dyDescent="0.25">
      <c r="A14" s="69"/>
      <c r="B14" s="69"/>
      <c r="C14" s="69"/>
      <c r="D14" s="69"/>
      <c r="E14" s="69"/>
    </row>
    <row r="15" spans="1:5" ht="15" customHeight="1" x14ac:dyDescent="0.25">
      <c r="A15" s="159" t="s">
        <v>179</v>
      </c>
      <c r="B15" s="159"/>
      <c r="C15" s="159"/>
      <c r="D15" s="159"/>
      <c r="E15" s="159"/>
    </row>
    <row r="16" spans="1:5" ht="15" customHeight="1" x14ac:dyDescent="0.25">
      <c r="A16" s="159"/>
      <c r="B16" s="159"/>
      <c r="C16" s="159"/>
      <c r="D16" s="159"/>
      <c r="E16" s="159"/>
    </row>
    <row r="17" spans="1:5" ht="15" customHeight="1" x14ac:dyDescent="0.25">
      <c r="A17" s="159"/>
      <c r="B17" s="159"/>
      <c r="C17" s="159"/>
      <c r="D17" s="159"/>
      <c r="E17" s="159"/>
    </row>
    <row r="18" spans="1:5" ht="15" customHeight="1" x14ac:dyDescent="0.25">
      <c r="A18" s="159"/>
      <c r="B18" s="159"/>
      <c r="C18" s="159"/>
      <c r="D18" s="159"/>
      <c r="E18" s="159"/>
    </row>
    <row r="19" spans="1:5" ht="14.25" customHeight="1" x14ac:dyDescent="0.25">
      <c r="A19" s="69"/>
      <c r="B19" s="69"/>
      <c r="C19" s="69"/>
      <c r="D19" s="69"/>
      <c r="E19" s="69"/>
    </row>
    <row r="20" spans="1:5" hidden="1" x14ac:dyDescent="0.25">
      <c r="A20" s="69"/>
      <c r="B20" s="69"/>
      <c r="C20" s="69"/>
      <c r="D20" s="69"/>
      <c r="E20" s="69"/>
    </row>
    <row r="21" spans="1:5" ht="12" customHeight="1" x14ac:dyDescent="0.25">
      <c r="A21" s="69"/>
      <c r="B21" s="69"/>
      <c r="C21" s="69"/>
      <c r="D21" s="69"/>
      <c r="E21" s="69"/>
    </row>
    <row r="22" spans="1:5" ht="0.75" hidden="1" customHeight="1" x14ac:dyDescent="0.25">
      <c r="A22" s="160"/>
      <c r="B22" s="161"/>
      <c r="C22" s="161"/>
      <c r="D22" s="161"/>
      <c r="E22" s="161"/>
    </row>
    <row r="23" spans="1:5" hidden="1" x14ac:dyDescent="0.25">
      <c r="A23" s="161"/>
      <c r="B23" s="161"/>
      <c r="C23" s="161"/>
      <c r="D23" s="161"/>
      <c r="E23" s="161"/>
    </row>
    <row r="24" spans="1:5" hidden="1" x14ac:dyDescent="0.25">
      <c r="A24" s="161"/>
      <c r="B24" s="161"/>
      <c r="C24" s="161"/>
      <c r="D24" s="161"/>
      <c r="E24" s="161"/>
    </row>
    <row r="25" spans="1:5" hidden="1" x14ac:dyDescent="0.25">
      <c r="A25" s="161"/>
      <c r="B25" s="161"/>
      <c r="C25" s="161"/>
      <c r="D25" s="161"/>
      <c r="E25" s="161"/>
    </row>
    <row r="26" spans="1:5" hidden="1" x14ac:dyDescent="0.25">
      <c r="A26" s="161"/>
      <c r="B26" s="161"/>
      <c r="C26" s="161"/>
      <c r="D26" s="161"/>
      <c r="E26" s="161"/>
    </row>
    <row r="27" spans="1:5" ht="15.75" thickBot="1" x14ac:dyDescent="0.3">
      <c r="A27" s="69"/>
      <c r="B27" s="69"/>
      <c r="C27" s="69"/>
      <c r="D27" s="69"/>
      <c r="E27" s="69"/>
    </row>
    <row r="28" spans="1:5" x14ac:dyDescent="0.25">
      <c r="A28" s="70" t="s">
        <v>32</v>
      </c>
      <c r="B28" s="71"/>
      <c r="C28" s="72"/>
      <c r="D28" s="73"/>
      <c r="E28" s="74"/>
    </row>
    <row r="29" spans="1:5" x14ac:dyDescent="0.25">
      <c r="A29" s="19" t="s">
        <v>114</v>
      </c>
      <c r="B29" s="19"/>
      <c r="C29" s="19"/>
      <c r="D29" s="19"/>
      <c r="E29" s="19"/>
    </row>
    <row r="30" spans="1:5" ht="14.25" customHeight="1" x14ac:dyDescent="0.25">
      <c r="A30" s="75" t="s">
        <v>175</v>
      </c>
      <c r="B30" s="76"/>
      <c r="C30" s="76"/>
      <c r="D30" s="77"/>
      <c r="E30" s="76"/>
    </row>
    <row r="31" spans="1:5" ht="15.75" customHeight="1" x14ac:dyDescent="0.25">
      <c r="A31" s="75"/>
      <c r="B31" s="135"/>
      <c r="C31" s="76"/>
      <c r="D31" s="77"/>
      <c r="E31" s="76"/>
    </row>
    <row r="32" spans="1:5" x14ac:dyDescent="0.25">
      <c r="A32" s="75"/>
      <c r="B32" s="76"/>
      <c r="C32" s="76"/>
      <c r="D32" s="77"/>
      <c r="E32" s="76"/>
    </row>
    <row r="33" spans="1:7" ht="15.75" thickBot="1" x14ac:dyDescent="0.3">
      <c r="A33" s="20" t="s">
        <v>1</v>
      </c>
      <c r="B33" s="37"/>
      <c r="C33" s="37"/>
      <c r="D33" s="78"/>
      <c r="E33" s="79">
        <f>SUM(D27:D32)</f>
        <v>0</v>
      </c>
    </row>
    <row r="34" spans="1:7" ht="0.75" customHeight="1" x14ac:dyDescent="0.25">
      <c r="A34" s="76"/>
      <c r="B34" s="76"/>
      <c r="C34" s="76"/>
      <c r="D34" s="77"/>
      <c r="E34" s="76"/>
    </row>
    <row r="35" spans="1:7" hidden="1" x14ac:dyDescent="0.25">
      <c r="A35" s="76"/>
      <c r="B35" s="76"/>
      <c r="C35" s="76"/>
      <c r="D35" s="77"/>
      <c r="E35" s="76"/>
      <c r="G35" s="5"/>
    </row>
    <row r="36" spans="1:7" hidden="1" x14ac:dyDescent="0.25">
      <c r="A36" s="76"/>
      <c r="B36" s="76"/>
      <c r="C36" s="76"/>
      <c r="D36" s="80"/>
      <c r="E36" s="76"/>
    </row>
    <row r="37" spans="1:7" ht="15.75" hidden="1" thickBot="1" x14ac:dyDescent="0.3">
      <c r="A37" s="20" t="s">
        <v>174</v>
      </c>
      <c r="B37" s="20"/>
      <c r="C37" s="20"/>
      <c r="D37" s="36"/>
      <c r="E37" s="79">
        <f>SUM(D34:D36)</f>
        <v>0</v>
      </c>
      <c r="F37" s="5"/>
    </row>
    <row r="38" spans="1:7" x14ac:dyDescent="0.25">
      <c r="A38" s="19" t="s">
        <v>130</v>
      </c>
      <c r="B38" s="19"/>
      <c r="C38" s="19"/>
      <c r="D38" s="21"/>
      <c r="E38" s="81"/>
    </row>
    <row r="39" spans="1:7" x14ac:dyDescent="0.25">
      <c r="A39" s="76" t="s">
        <v>131</v>
      </c>
      <c r="B39" s="76" t="s">
        <v>181</v>
      </c>
      <c r="C39" s="76"/>
      <c r="D39" s="77">
        <v>133500</v>
      </c>
      <c r="E39" s="82" t="s">
        <v>176</v>
      </c>
      <c r="G39" t="s">
        <v>185</v>
      </c>
    </row>
    <row r="40" spans="1:7" ht="15.75" thickBot="1" x14ac:dyDescent="0.3">
      <c r="A40" s="76" t="s">
        <v>187</v>
      </c>
      <c r="B40" s="76"/>
      <c r="C40" s="76"/>
      <c r="D40" s="17">
        <v>202000</v>
      </c>
      <c r="E40" s="82"/>
    </row>
    <row r="41" spans="1:7" ht="15.75" thickBot="1" x14ac:dyDescent="0.3">
      <c r="A41" s="20" t="s">
        <v>110</v>
      </c>
      <c r="B41" s="20"/>
      <c r="C41" s="20"/>
      <c r="D41" s="25"/>
      <c r="E41" s="83">
        <f>SUM(D39:D40)</f>
        <v>335500</v>
      </c>
    </row>
    <row r="42" spans="1:7" x14ac:dyDescent="0.25">
      <c r="A42" s="19" t="s">
        <v>2</v>
      </c>
      <c r="B42" s="20"/>
      <c r="C42" s="20"/>
      <c r="D42" s="22"/>
      <c r="E42" s="22"/>
    </row>
    <row r="43" spans="1:7" x14ac:dyDescent="0.25">
      <c r="A43" s="75" t="s">
        <v>121</v>
      </c>
      <c r="B43" s="76"/>
      <c r="C43" s="76" t="s">
        <v>184</v>
      </c>
      <c r="D43" s="17">
        <v>29900</v>
      </c>
      <c r="E43" s="24"/>
    </row>
    <row r="44" spans="1:7" ht="15.75" thickBot="1" x14ac:dyDescent="0.3">
      <c r="A44" s="75"/>
      <c r="B44" s="76"/>
      <c r="C44" s="76"/>
      <c r="D44" s="17"/>
      <c r="E44" s="84"/>
    </row>
    <row r="45" spans="1:7" ht="15.75" thickBot="1" x14ac:dyDescent="0.3">
      <c r="A45" s="20" t="s">
        <v>3</v>
      </c>
      <c r="B45" s="20"/>
      <c r="C45" s="20"/>
      <c r="D45" s="25"/>
      <c r="E45" s="85">
        <f>SUM(D43:D44)</f>
        <v>29900</v>
      </c>
    </row>
    <row r="46" spans="1:7" x14ac:dyDescent="0.25">
      <c r="A46" s="19" t="s">
        <v>111</v>
      </c>
      <c r="B46" s="37"/>
      <c r="C46" s="37"/>
      <c r="D46" s="26"/>
      <c r="E46" s="86"/>
    </row>
    <row r="47" spans="1:7" x14ac:dyDescent="0.25">
      <c r="A47" s="154"/>
      <c r="B47" s="88"/>
      <c r="C47" s="88"/>
      <c r="D47" s="155"/>
      <c r="E47" s="156"/>
    </row>
    <row r="48" spans="1:7" ht="15" customHeight="1" thickBot="1" x14ac:dyDescent="0.3">
      <c r="A48" s="20" t="s">
        <v>4</v>
      </c>
      <c r="B48" s="37"/>
      <c r="C48" s="37"/>
      <c r="D48" s="27"/>
      <c r="E48" s="87">
        <f>D47</f>
        <v>0</v>
      </c>
    </row>
    <row r="49" spans="1:5" x14ac:dyDescent="0.25">
      <c r="A49" s="19" t="s">
        <v>113</v>
      </c>
      <c r="B49" s="37"/>
      <c r="C49" s="37"/>
      <c r="D49" s="26"/>
      <c r="E49" s="86"/>
    </row>
    <row r="50" spans="1:5" ht="14.25" customHeight="1" x14ac:dyDescent="0.25">
      <c r="A50" s="76" t="s">
        <v>182</v>
      </c>
      <c r="B50" s="88"/>
      <c r="C50" s="76"/>
      <c r="D50" s="17">
        <v>496137.83</v>
      </c>
      <c r="E50" s="24"/>
    </row>
    <row r="51" spans="1:5" x14ac:dyDescent="0.25">
      <c r="A51" s="88" t="s">
        <v>163</v>
      </c>
      <c r="B51" s="88"/>
      <c r="C51" s="76"/>
      <c r="D51" s="17">
        <v>81700</v>
      </c>
      <c r="E51" s="17"/>
    </row>
    <row r="52" spans="1:5" x14ac:dyDescent="0.25">
      <c r="A52" s="88" t="s">
        <v>177</v>
      </c>
      <c r="B52" s="92"/>
      <c r="C52" s="88"/>
      <c r="D52" s="17">
        <v>73000</v>
      </c>
      <c r="E52" s="24"/>
    </row>
    <row r="53" spans="1:5" x14ac:dyDescent="0.25">
      <c r="A53" s="76" t="s">
        <v>138</v>
      </c>
      <c r="B53" s="76"/>
      <c r="C53" s="137"/>
      <c r="D53" s="152">
        <v>67441.64</v>
      </c>
      <c r="E53" s="24"/>
    </row>
    <row r="54" spans="1:5" x14ac:dyDescent="0.25">
      <c r="A54" s="76" t="s">
        <v>138</v>
      </c>
      <c r="B54" s="76"/>
      <c r="C54" s="138"/>
      <c r="D54" s="152">
        <v>0</v>
      </c>
      <c r="E54" s="82"/>
    </row>
    <row r="55" spans="1:5" x14ac:dyDescent="0.25">
      <c r="A55" s="76" t="s">
        <v>115</v>
      </c>
      <c r="B55" s="76"/>
      <c r="C55" s="138"/>
      <c r="D55" s="152">
        <v>7360.06</v>
      </c>
      <c r="E55" s="82"/>
    </row>
    <row r="56" spans="1:5" x14ac:dyDescent="0.25">
      <c r="A56" s="76" t="s">
        <v>120</v>
      </c>
      <c r="B56" s="76"/>
      <c r="C56" s="138"/>
      <c r="D56" s="152">
        <v>7637.04</v>
      </c>
      <c r="E56" s="82"/>
    </row>
    <row r="57" spans="1:5" x14ac:dyDescent="0.25">
      <c r="A57" s="76" t="s">
        <v>120</v>
      </c>
      <c r="B57" s="76"/>
      <c r="C57" s="138"/>
      <c r="D57" s="152">
        <v>0</v>
      </c>
      <c r="E57" s="137"/>
    </row>
    <row r="58" spans="1:5" x14ac:dyDescent="0.25">
      <c r="A58" s="76" t="s">
        <v>183</v>
      </c>
      <c r="B58" s="76"/>
      <c r="C58" s="76"/>
      <c r="D58" s="17">
        <v>5136.22</v>
      </c>
      <c r="E58" s="24"/>
    </row>
    <row r="59" spans="1:5" ht="15.75" thickBot="1" x14ac:dyDescent="0.3">
      <c r="A59" s="76"/>
      <c r="B59" s="89"/>
      <c r="C59" s="90"/>
      <c r="D59" s="17"/>
      <c r="E59" s="84"/>
    </row>
    <row r="60" spans="1:5" ht="15.75" thickBot="1" x14ac:dyDescent="0.3">
      <c r="A60" s="20" t="s">
        <v>5</v>
      </c>
      <c r="B60" s="20"/>
      <c r="C60" s="20"/>
      <c r="D60" s="25"/>
      <c r="E60" s="85">
        <f>SUM(D50:D59)</f>
        <v>738412.79000000015</v>
      </c>
    </row>
    <row r="61" spans="1:5" ht="15.75" thickBot="1" x14ac:dyDescent="0.3">
      <c r="A61" s="19" t="s">
        <v>112</v>
      </c>
      <c r="B61" s="20"/>
      <c r="C61" s="20"/>
      <c r="D61" s="25"/>
      <c r="E61" s="85"/>
    </row>
    <row r="62" spans="1:5" x14ac:dyDescent="0.25">
      <c r="A62" s="76" t="s">
        <v>145</v>
      </c>
      <c r="B62" s="76"/>
      <c r="C62" s="76"/>
      <c r="D62" s="17">
        <v>51658.31</v>
      </c>
      <c r="E62" s="82"/>
    </row>
    <row r="63" spans="1:5" x14ac:dyDescent="0.25">
      <c r="A63" s="76" t="s">
        <v>137</v>
      </c>
      <c r="B63" s="76"/>
      <c r="C63" s="76"/>
      <c r="D63" s="24">
        <v>2700</v>
      </c>
      <c r="E63" s="24"/>
    </row>
    <row r="64" spans="1:5" ht="15.75" thickBot="1" x14ac:dyDescent="0.3">
      <c r="A64" s="20" t="s">
        <v>14</v>
      </c>
      <c r="B64" s="19"/>
      <c r="C64" s="19"/>
      <c r="D64" s="19"/>
      <c r="E64" s="91">
        <f>SUM(D62:D63)</f>
        <v>54358.31</v>
      </c>
    </row>
    <row r="65" spans="1:7" ht="15.75" thickBot="1" x14ac:dyDescent="0.3">
      <c r="A65" s="19" t="s">
        <v>36</v>
      </c>
      <c r="B65" s="20"/>
      <c r="C65" s="20"/>
      <c r="D65" s="12"/>
      <c r="E65" s="85"/>
    </row>
    <row r="66" spans="1:7" x14ac:dyDescent="0.25">
      <c r="A66" s="76" t="s">
        <v>36</v>
      </c>
      <c r="B66" s="76"/>
      <c r="C66" s="76"/>
      <c r="D66" s="17">
        <v>32623.84</v>
      </c>
      <c r="E66" s="92"/>
    </row>
    <row r="67" spans="1:7" ht="15.75" thickBot="1" x14ac:dyDescent="0.3">
      <c r="A67" s="75"/>
      <c r="B67" s="76"/>
      <c r="C67" s="76"/>
      <c r="D67" s="17"/>
      <c r="E67" s="93"/>
    </row>
    <row r="68" spans="1:7" ht="15.75" thickBot="1" x14ac:dyDescent="0.3">
      <c r="A68" s="20" t="s">
        <v>110</v>
      </c>
      <c r="B68" s="20"/>
      <c r="C68" s="20"/>
      <c r="D68" s="12"/>
      <c r="E68" s="85">
        <f>SUM(D66:D67)</f>
        <v>32623.84</v>
      </c>
    </row>
    <row r="69" spans="1:7" ht="15.75" thickBot="1" x14ac:dyDescent="0.3">
      <c r="A69" s="76"/>
      <c r="B69" s="76"/>
      <c r="C69" s="76"/>
      <c r="D69" s="76"/>
      <c r="E69" s="94"/>
    </row>
    <row r="70" spans="1:7" ht="15.75" thickBot="1" x14ac:dyDescent="0.3">
      <c r="A70" s="95" t="s">
        <v>167</v>
      </c>
      <c r="B70" s="95"/>
      <c r="C70" s="95"/>
      <c r="D70" s="96"/>
      <c r="E70" s="97">
        <f>3800000-988794.94-202000</f>
        <v>2609205.06</v>
      </c>
    </row>
    <row r="71" spans="1:7" ht="15.75" thickBot="1" x14ac:dyDescent="0.3">
      <c r="A71" s="98"/>
      <c r="B71" s="69"/>
      <c r="C71" s="69"/>
      <c r="D71" s="69"/>
      <c r="E71" s="99"/>
      <c r="F71" s="31"/>
    </row>
    <row r="72" spans="1:7" ht="15.75" thickBot="1" x14ac:dyDescent="0.3">
      <c r="A72" s="100" t="s">
        <v>37</v>
      </c>
      <c r="B72" s="101"/>
      <c r="C72" s="102"/>
      <c r="D72" s="102"/>
      <c r="E72" s="103">
        <f>(SUM(E30:E70))</f>
        <v>3800000</v>
      </c>
      <c r="F72" s="31"/>
      <c r="G72" s="31"/>
    </row>
    <row r="73" spans="1:7" x14ac:dyDescent="0.25">
      <c r="A73" s="69"/>
      <c r="B73" s="69"/>
      <c r="C73" s="69"/>
      <c r="D73" s="69"/>
      <c r="E73" s="69"/>
    </row>
    <row r="74" spans="1:7" ht="15.75" thickBot="1" x14ac:dyDescent="0.3">
      <c r="A74" s="69"/>
      <c r="B74" s="69"/>
      <c r="C74" s="69"/>
      <c r="D74" s="69"/>
      <c r="E74" s="69"/>
      <c r="F74" s="31"/>
    </row>
    <row r="75" spans="1:7" x14ac:dyDescent="0.25">
      <c r="A75" s="170" t="s">
        <v>141</v>
      </c>
      <c r="B75" s="171"/>
      <c r="C75" s="104"/>
      <c r="D75" s="69"/>
      <c r="E75" s="69"/>
    </row>
    <row r="76" spans="1:7" ht="15" customHeight="1" x14ac:dyDescent="0.25">
      <c r="A76" s="162"/>
      <c r="B76" s="163"/>
      <c r="C76" s="17"/>
      <c r="D76" s="69"/>
      <c r="E76" s="69"/>
    </row>
    <row r="77" spans="1:7" x14ac:dyDescent="0.25">
      <c r="A77" s="164"/>
      <c r="B77" s="165"/>
      <c r="C77" s="17"/>
      <c r="D77" s="69"/>
      <c r="E77" s="69"/>
    </row>
    <row r="78" spans="1:7" x14ac:dyDescent="0.25">
      <c r="A78" s="166"/>
      <c r="B78" s="167"/>
      <c r="C78" s="105"/>
      <c r="D78" s="69"/>
      <c r="E78" s="106"/>
    </row>
    <row r="79" spans="1:7" ht="15.75" thickBot="1" x14ac:dyDescent="0.3">
      <c r="A79" s="168" t="s">
        <v>14</v>
      </c>
      <c r="B79" s="169"/>
      <c r="C79" s="107">
        <f>SUM(C76:C78)</f>
        <v>0</v>
      </c>
      <c r="D79" s="69"/>
      <c r="E79" s="69"/>
    </row>
    <row r="80" spans="1:7" x14ac:dyDescent="0.25">
      <c r="A80" s="69"/>
      <c r="B80" s="69"/>
      <c r="C80" s="69"/>
      <c r="D80" s="69"/>
      <c r="E80" s="69"/>
    </row>
    <row r="81" spans="1:5" x14ac:dyDescent="0.25">
      <c r="A81" s="108" t="s">
        <v>146</v>
      </c>
      <c r="B81" s="108"/>
      <c r="C81" s="109"/>
      <c r="D81" s="110"/>
      <c r="E81" s="69"/>
    </row>
    <row r="82" spans="1:5" ht="15.75" thickBot="1" x14ac:dyDescent="0.3">
      <c r="A82" s="69"/>
      <c r="B82" s="69"/>
      <c r="C82" s="69"/>
      <c r="D82" s="69"/>
      <c r="E82" s="69"/>
    </row>
    <row r="83" spans="1:5" ht="15.75" thickBot="1" x14ac:dyDescent="0.3">
      <c r="A83" s="111" t="s">
        <v>38</v>
      </c>
      <c r="B83" s="112">
        <f>E72</f>
        <v>3800000</v>
      </c>
      <c r="C83" s="69"/>
      <c r="D83" s="69"/>
      <c r="E83" s="106"/>
    </row>
    <row r="84" spans="1:5" x14ac:dyDescent="0.25">
      <c r="A84" s="113" t="s">
        <v>39</v>
      </c>
      <c r="B84" s="114">
        <f>E72-E70</f>
        <v>1190794.94</v>
      </c>
      <c r="C84" s="69"/>
      <c r="D84" s="69"/>
      <c r="E84" s="69"/>
    </row>
    <row r="85" spans="1:5" x14ac:dyDescent="0.25">
      <c r="A85" s="115" t="s">
        <v>143</v>
      </c>
      <c r="B85" s="116">
        <f>C79+C81</f>
        <v>0</v>
      </c>
      <c r="C85" s="69"/>
      <c r="D85" s="69"/>
      <c r="E85" s="69"/>
    </row>
    <row r="86" spans="1:5" x14ac:dyDescent="0.25">
      <c r="A86" s="115" t="s">
        <v>142</v>
      </c>
      <c r="B86" s="116">
        <f>C79</f>
        <v>0</v>
      </c>
      <c r="C86" s="69"/>
      <c r="D86" s="69"/>
      <c r="E86" s="69"/>
    </row>
    <row r="87" spans="1:5" x14ac:dyDescent="0.25">
      <c r="A87" s="115" t="s">
        <v>144</v>
      </c>
      <c r="B87" s="116">
        <f>B84+B86</f>
        <v>1190794.94</v>
      </c>
      <c r="C87" s="69"/>
      <c r="D87" s="69"/>
      <c r="E87" s="69"/>
    </row>
    <row r="88" spans="1:5" x14ac:dyDescent="0.25">
      <c r="A88" s="69"/>
      <c r="B88" s="69"/>
      <c r="C88" s="69"/>
      <c r="D88" s="69"/>
      <c r="E88" s="69"/>
    </row>
    <row r="89" spans="1:5" hidden="1" x14ac:dyDescent="0.25">
      <c r="A89" s="161"/>
      <c r="B89" s="161"/>
      <c r="C89" s="161"/>
      <c r="D89" s="69"/>
      <c r="E89" s="69"/>
    </row>
    <row r="90" spans="1:5" ht="35.25" hidden="1" customHeight="1" x14ac:dyDescent="0.25">
      <c r="A90" s="161"/>
      <c r="B90" s="161"/>
      <c r="C90" s="161"/>
      <c r="D90" s="69"/>
      <c r="E90" s="69"/>
    </row>
    <row r="91" spans="1:5" x14ac:dyDescent="0.25">
      <c r="A91" s="69"/>
      <c r="B91" s="69"/>
      <c r="C91" s="69"/>
      <c r="D91" s="69"/>
      <c r="E91" s="69"/>
    </row>
    <row r="92" spans="1:5" x14ac:dyDescent="0.25">
      <c r="A92" s="117" t="s">
        <v>159</v>
      </c>
      <c r="B92" s="118"/>
      <c r="C92" s="119"/>
      <c r="D92" s="69"/>
      <c r="E92" s="69"/>
    </row>
    <row r="93" spans="1:5" x14ac:dyDescent="0.25">
      <c r="A93" s="16" t="s">
        <v>40</v>
      </c>
      <c r="B93" s="118">
        <v>4205659.1483760336</v>
      </c>
      <c r="C93" s="120"/>
      <c r="D93" s="69"/>
      <c r="E93" s="69"/>
    </row>
    <row r="94" spans="1:5" ht="13.5" customHeight="1" x14ac:dyDescent="0.25">
      <c r="A94" s="121" t="s">
        <v>42</v>
      </c>
      <c r="B94" s="122">
        <f>PRORRATEO!I42</f>
        <v>3803158.8495704001</v>
      </c>
      <c r="C94" s="119"/>
      <c r="D94" s="106"/>
      <c r="E94" s="69"/>
    </row>
    <row r="95" spans="1:5" ht="13.5" customHeight="1" x14ac:dyDescent="0.25">
      <c r="A95" s="121" t="s">
        <v>178</v>
      </c>
      <c r="B95" s="122">
        <v>61700</v>
      </c>
      <c r="C95" s="119"/>
      <c r="D95" s="106"/>
      <c r="E95" s="69"/>
    </row>
    <row r="96" spans="1:5" ht="13.5" customHeight="1" x14ac:dyDescent="0.25">
      <c r="A96" s="121" t="s">
        <v>186</v>
      </c>
      <c r="B96" s="122">
        <v>200000</v>
      </c>
      <c r="C96" s="119"/>
      <c r="D96" s="106"/>
      <c r="E96" s="69"/>
    </row>
    <row r="97" spans="1:8" ht="15" customHeight="1" x14ac:dyDescent="0.25">
      <c r="A97" s="123" t="s">
        <v>41</v>
      </c>
      <c r="B97" s="136">
        <f>-(B87+B105)</f>
        <v>-974856.2</v>
      </c>
      <c r="C97" s="119"/>
      <c r="D97" s="69"/>
      <c r="E97" s="69"/>
    </row>
    <row r="98" spans="1:8" x14ac:dyDescent="0.25">
      <c r="A98" s="124" t="s">
        <v>14</v>
      </c>
      <c r="B98" s="40">
        <f>SUM(B93:B97)</f>
        <v>7295661.7979464335</v>
      </c>
      <c r="C98" s="125"/>
      <c r="D98" s="106"/>
      <c r="E98" s="69"/>
    </row>
    <row r="99" spans="1:8" x14ac:dyDescent="0.25">
      <c r="A99" s="69"/>
      <c r="B99" s="126"/>
      <c r="C99" s="125"/>
      <c r="D99" s="69"/>
      <c r="E99" s="69"/>
    </row>
    <row r="100" spans="1:8" x14ac:dyDescent="0.25">
      <c r="A100" s="69"/>
      <c r="B100" s="127"/>
      <c r="C100" s="125"/>
      <c r="D100" s="120"/>
      <c r="E100" s="69"/>
    </row>
    <row r="101" spans="1:8" s="28" customFormat="1" ht="27" customHeight="1" x14ac:dyDescent="0.25">
      <c r="A101" s="69"/>
      <c r="B101" s="126"/>
      <c r="C101" s="128"/>
      <c r="D101" s="129"/>
      <c r="E101" s="129"/>
      <c r="G101" s="157">
        <f>B98+B109</f>
        <v>7064926.3665474337</v>
      </c>
      <c r="H101" s="157">
        <f>+B95+6870241.87</f>
        <v>6931941.8700000001</v>
      </c>
    </row>
    <row r="102" spans="1:8" s="28" customFormat="1" ht="27" customHeight="1" x14ac:dyDescent="0.25">
      <c r="A102" s="130" t="s">
        <v>43</v>
      </c>
      <c r="B102" s="24"/>
      <c r="C102" s="128"/>
      <c r="D102" s="129"/>
      <c r="E102" s="131"/>
      <c r="H102" s="157">
        <f>G101-H101</f>
        <v>132984.49654743355</v>
      </c>
    </row>
    <row r="103" spans="1:8" s="28" customFormat="1" ht="15.75" customHeight="1" x14ac:dyDescent="0.25">
      <c r="A103" s="76" t="s">
        <v>40</v>
      </c>
      <c r="B103" s="24">
        <v>-14796.691398999857</v>
      </c>
      <c r="C103" s="128"/>
      <c r="D103" s="131"/>
      <c r="E103" s="131"/>
    </row>
    <row r="104" spans="1:8" ht="14.25" customHeight="1" x14ac:dyDescent="0.25">
      <c r="A104" s="76" t="s">
        <v>33</v>
      </c>
      <c r="B104" s="24">
        <f>PRORRATEO!I43</f>
        <v>0</v>
      </c>
      <c r="C104" s="125"/>
      <c r="D104" s="106"/>
      <c r="E104" s="69"/>
    </row>
    <row r="105" spans="1:8" x14ac:dyDescent="0.25">
      <c r="A105" s="76" t="s">
        <v>41</v>
      </c>
      <c r="B105" s="138">
        <f>-(D53+D54+D55+D56+D39)</f>
        <v>-215938.74</v>
      </c>
      <c r="C105" s="125"/>
      <c r="D105" s="69"/>
      <c r="E105" s="69"/>
    </row>
    <row r="106" spans="1:8" x14ac:dyDescent="0.25">
      <c r="A106" s="76"/>
      <c r="B106" s="39"/>
      <c r="C106" s="125"/>
      <c r="D106" s="69"/>
      <c r="E106" s="69"/>
    </row>
    <row r="107" spans="1:8" ht="17.25" hidden="1" customHeight="1" x14ac:dyDescent="0.25">
      <c r="A107" s="135"/>
      <c r="B107" s="134"/>
      <c r="C107" s="132"/>
      <c r="D107" s="69"/>
      <c r="E107" s="69"/>
    </row>
    <row r="108" spans="1:8" ht="17.25" hidden="1" customHeight="1" x14ac:dyDescent="0.25">
      <c r="A108" s="135"/>
      <c r="B108" s="134"/>
      <c r="C108" s="132"/>
      <c r="D108" s="69"/>
      <c r="E108" s="69"/>
    </row>
    <row r="109" spans="1:8" x14ac:dyDescent="0.25">
      <c r="A109" s="130" t="s">
        <v>44</v>
      </c>
      <c r="B109" s="40">
        <f>SUM(B103:B108)</f>
        <v>-230735.43139899985</v>
      </c>
      <c r="C109" s="119"/>
      <c r="D109" s="69"/>
      <c r="E109" s="69"/>
    </row>
    <row r="110" spans="1:8" x14ac:dyDescent="0.25">
      <c r="A110" s="69"/>
      <c r="B110" s="69"/>
      <c r="C110" s="69"/>
      <c r="D110" s="69"/>
      <c r="E110" s="69"/>
    </row>
    <row r="112" spans="1:8" x14ac:dyDescent="0.25">
      <c r="A112" s="158" t="s">
        <v>147</v>
      </c>
      <c r="B112" s="158"/>
      <c r="C112" s="158"/>
    </row>
    <row r="113" spans="1:13" x14ac:dyDescent="0.25">
      <c r="A113" s="158"/>
      <c r="B113" s="158"/>
      <c r="C113" s="158"/>
    </row>
    <row r="114" spans="1:13" x14ac:dyDescent="0.25">
      <c r="A114" s="1"/>
      <c r="B114" s="1"/>
      <c r="C114" s="23"/>
    </row>
    <row r="115" spans="1:13" x14ac:dyDescent="0.25">
      <c r="A115" s="32" t="s">
        <v>14</v>
      </c>
      <c r="B115" s="32"/>
      <c r="C115" s="33">
        <f>SUM(C114:C114)</f>
        <v>0</v>
      </c>
    </row>
    <row r="116" spans="1:13" x14ac:dyDescent="0.25">
      <c r="M116" s="4"/>
    </row>
  </sheetData>
  <mergeCells count="9">
    <mergeCell ref="A112:C113"/>
    <mergeCell ref="A15:E18"/>
    <mergeCell ref="A22:E26"/>
    <mergeCell ref="A76:B76"/>
    <mergeCell ref="A77:B77"/>
    <mergeCell ref="A78:B78"/>
    <mergeCell ref="A79:B79"/>
    <mergeCell ref="A75:B75"/>
    <mergeCell ref="A89:C90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opLeftCell="C1" workbookViewId="0">
      <selection activeCell="H5" sqref="H5:H40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7.7109375" bestFit="1" customWidth="1"/>
    <col min="8" max="8" width="12.28515625" customWidth="1"/>
    <col min="9" max="9" width="0.140625" customWidth="1"/>
    <col min="10" max="10" width="12.5703125" customWidth="1"/>
    <col min="11" max="11" width="10.5703125" customWidth="1"/>
    <col min="12" max="12" width="13" customWidth="1"/>
    <col min="13" max="13" width="9.85546875" customWidth="1"/>
    <col min="14" max="14" width="14.7109375" customWidth="1"/>
    <col min="15" max="15" width="14.5703125" customWidth="1"/>
    <col min="17" max="17" width="13" bestFit="1" customWidth="1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6</v>
      </c>
      <c r="L1" s="2"/>
      <c r="M1" s="2"/>
      <c r="N1" s="181">
        <v>3800000</v>
      </c>
      <c r="O1" s="181"/>
      <c r="P1" s="5"/>
    </row>
    <row r="2" spans="1:18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109</v>
      </c>
      <c r="L2" s="2"/>
      <c r="M2" s="2"/>
      <c r="N2" s="180"/>
      <c r="O2" s="180"/>
    </row>
    <row r="3" spans="1:18" x14ac:dyDescent="0.25">
      <c r="A3" s="172" t="s">
        <v>7</v>
      </c>
      <c r="B3" s="174" t="s">
        <v>8</v>
      </c>
      <c r="C3" s="176" t="s">
        <v>9</v>
      </c>
      <c r="D3" s="176" t="s">
        <v>10</v>
      </c>
      <c r="E3" s="176" t="s">
        <v>122</v>
      </c>
      <c r="F3" s="172" t="s">
        <v>35</v>
      </c>
      <c r="G3" s="172" t="s">
        <v>11</v>
      </c>
      <c r="H3" s="172" t="s">
        <v>12</v>
      </c>
      <c r="I3" s="14"/>
      <c r="J3" s="184" t="s">
        <v>134</v>
      </c>
      <c r="K3" s="182" t="s">
        <v>13</v>
      </c>
      <c r="L3" s="182" t="s">
        <v>31</v>
      </c>
      <c r="M3" s="182" t="s">
        <v>172</v>
      </c>
      <c r="N3" s="182" t="s">
        <v>29</v>
      </c>
      <c r="O3" s="182" t="s">
        <v>30</v>
      </c>
    </row>
    <row r="4" spans="1:18" x14ac:dyDescent="0.25">
      <c r="A4" s="173"/>
      <c r="B4" s="175"/>
      <c r="C4" s="177"/>
      <c r="D4" s="177"/>
      <c r="E4" s="178"/>
      <c r="F4" s="173"/>
      <c r="G4" s="173"/>
      <c r="H4" s="173"/>
      <c r="I4" s="15"/>
      <c r="J4" s="185"/>
      <c r="K4" s="183"/>
      <c r="L4" s="186"/>
      <c r="M4" s="186"/>
      <c r="N4" s="186"/>
      <c r="O4" s="183"/>
    </row>
    <row r="5" spans="1:18" x14ac:dyDescent="0.25">
      <c r="A5" s="1" t="s">
        <v>15</v>
      </c>
      <c r="B5" s="1"/>
      <c r="C5" s="34" t="s">
        <v>15</v>
      </c>
      <c r="D5" s="34" t="s">
        <v>82</v>
      </c>
      <c r="E5" s="34"/>
      <c r="F5" s="1">
        <v>2.63</v>
      </c>
      <c r="G5" s="24">
        <v>107830.07195792551</v>
      </c>
      <c r="H5" s="29">
        <f>175070-G37</f>
        <v>107830.00000000001</v>
      </c>
      <c r="I5" s="13" t="s">
        <v>119</v>
      </c>
      <c r="J5" s="7">
        <f>H5-G5</f>
        <v>-7.195792549464386E-2</v>
      </c>
      <c r="K5" s="38">
        <f>N$2*F5%</f>
        <v>0</v>
      </c>
      <c r="L5" s="6">
        <f>N$1*F5%</f>
        <v>99940</v>
      </c>
      <c r="M5" s="23"/>
      <c r="N5" s="23">
        <f>L5+K5-J5+M5</f>
        <v>99940.071957925495</v>
      </c>
      <c r="O5" s="23">
        <f>N5*6% + N5</f>
        <v>105936.47627540103</v>
      </c>
    </row>
    <row r="6" spans="1:18" x14ac:dyDescent="0.25">
      <c r="A6" s="1" t="s">
        <v>16</v>
      </c>
      <c r="B6" s="1"/>
      <c r="C6" s="34" t="s">
        <v>47</v>
      </c>
      <c r="D6" s="34" t="s">
        <v>83</v>
      </c>
      <c r="E6" s="34" t="s">
        <v>123</v>
      </c>
      <c r="F6" s="1">
        <v>3.33</v>
      </c>
      <c r="G6" s="24">
        <v>354609.38216694933</v>
      </c>
      <c r="H6" s="29">
        <v>136530</v>
      </c>
      <c r="I6" s="13" t="s">
        <v>119</v>
      </c>
      <c r="J6" s="7">
        <f t="shared" ref="J6:J40" si="0">H6-G6</f>
        <v>-218079.38216694933</v>
      </c>
      <c r="K6" s="38">
        <f t="shared" ref="K6:K40" si="1">N$2*F6%</f>
        <v>0</v>
      </c>
      <c r="L6" s="6">
        <f t="shared" ref="L6:L40" si="2">N$1*F6%</f>
        <v>126540.00000000001</v>
      </c>
      <c r="M6" s="23"/>
      <c r="N6" s="23">
        <f>L6+K6-J6+M6</f>
        <v>344619.38216694933</v>
      </c>
      <c r="O6" s="23">
        <f t="shared" ref="O6:O40" si="3">N6*6% + N6</f>
        <v>365296.54509696632</v>
      </c>
      <c r="Q6" s="31"/>
    </row>
    <row r="7" spans="1:18" x14ac:dyDescent="0.25">
      <c r="A7" s="1" t="s">
        <v>16</v>
      </c>
      <c r="B7" s="1"/>
      <c r="C7" s="34" t="s">
        <v>48</v>
      </c>
      <c r="D7" s="34" t="s">
        <v>84</v>
      </c>
      <c r="E7" s="34"/>
      <c r="F7" s="1">
        <v>3.32</v>
      </c>
      <c r="G7" s="24">
        <v>136117.54879999999</v>
      </c>
      <c r="H7" s="29">
        <f>G7+3</f>
        <v>136120.54879999999</v>
      </c>
      <c r="I7" s="13" t="s">
        <v>119</v>
      </c>
      <c r="J7" s="7">
        <f t="shared" si="0"/>
        <v>3</v>
      </c>
      <c r="K7" s="38">
        <f t="shared" si="1"/>
        <v>0</v>
      </c>
      <c r="L7" s="6">
        <f t="shared" si="2"/>
        <v>126160</v>
      </c>
      <c r="M7" s="23"/>
      <c r="N7" s="23">
        <f t="shared" ref="N7:N40" si="4">L7+K7-J7+M7</f>
        <v>126157</v>
      </c>
      <c r="O7" s="23">
        <f t="shared" si="3"/>
        <v>133726.42000000001</v>
      </c>
    </row>
    <row r="8" spans="1:18" x14ac:dyDescent="0.25">
      <c r="A8" s="1" t="s">
        <v>17</v>
      </c>
      <c r="B8" s="1"/>
      <c r="C8" s="34" t="s">
        <v>49</v>
      </c>
      <c r="D8" s="34" t="s">
        <v>116</v>
      </c>
      <c r="E8" s="34"/>
      <c r="F8" s="1">
        <v>3.42</v>
      </c>
      <c r="G8" s="24">
        <v>434149.1281354035</v>
      </c>
      <c r="H8" s="29">
        <f>180000</f>
        <v>180000</v>
      </c>
      <c r="I8" s="13" t="s">
        <v>119</v>
      </c>
      <c r="J8" s="7">
        <f t="shared" si="0"/>
        <v>-254149.1281354035</v>
      </c>
      <c r="K8" s="38">
        <f t="shared" si="1"/>
        <v>0</v>
      </c>
      <c r="L8" s="6">
        <f t="shared" si="2"/>
        <v>129960</v>
      </c>
      <c r="M8" s="23"/>
      <c r="N8" s="23">
        <f t="shared" si="4"/>
        <v>384109.1281354035</v>
      </c>
      <c r="O8" s="23">
        <f t="shared" si="3"/>
        <v>407155.67582352774</v>
      </c>
    </row>
    <row r="9" spans="1:18" x14ac:dyDescent="0.25">
      <c r="A9" s="1" t="s">
        <v>17</v>
      </c>
      <c r="B9" s="1"/>
      <c r="C9" s="34" t="s">
        <v>50</v>
      </c>
      <c r="D9" s="34" t="s">
        <v>85</v>
      </c>
      <c r="E9" s="34"/>
      <c r="F9" s="1">
        <v>3.34</v>
      </c>
      <c r="G9" s="24">
        <v>136940</v>
      </c>
      <c r="H9" s="29">
        <f>G9</f>
        <v>136940</v>
      </c>
      <c r="I9" s="13" t="s">
        <v>119</v>
      </c>
      <c r="J9" s="7">
        <f t="shared" si="0"/>
        <v>0</v>
      </c>
      <c r="K9" s="38">
        <f t="shared" si="1"/>
        <v>0</v>
      </c>
      <c r="L9" s="6">
        <f t="shared" si="2"/>
        <v>126920</v>
      </c>
      <c r="M9" s="23"/>
      <c r="N9" s="23">
        <f t="shared" si="4"/>
        <v>126920</v>
      </c>
      <c r="O9" s="23">
        <f t="shared" si="3"/>
        <v>134535.20000000001</v>
      </c>
    </row>
    <row r="10" spans="1:18" x14ac:dyDescent="0.25">
      <c r="A10" s="1" t="s">
        <v>18</v>
      </c>
      <c r="B10" s="1"/>
      <c r="C10" s="34" t="s">
        <v>51</v>
      </c>
      <c r="D10" s="34" t="s">
        <v>132</v>
      </c>
      <c r="E10" s="34"/>
      <c r="F10" s="1">
        <v>3.33</v>
      </c>
      <c r="G10" s="24">
        <v>136530</v>
      </c>
      <c r="H10" s="29">
        <f>G10</f>
        <v>136530</v>
      </c>
      <c r="I10" s="13" t="s">
        <v>119</v>
      </c>
      <c r="J10" s="7">
        <f t="shared" si="0"/>
        <v>0</v>
      </c>
      <c r="K10" s="38">
        <f t="shared" si="1"/>
        <v>0</v>
      </c>
      <c r="L10" s="6">
        <f t="shared" si="2"/>
        <v>126540.00000000001</v>
      </c>
      <c r="M10" s="23"/>
      <c r="N10" s="23">
        <f t="shared" si="4"/>
        <v>126540.00000000001</v>
      </c>
      <c r="O10" s="23">
        <f t="shared" si="3"/>
        <v>134132.40000000002</v>
      </c>
    </row>
    <row r="11" spans="1:18" x14ac:dyDescent="0.25">
      <c r="A11" s="1" t="s">
        <v>18</v>
      </c>
      <c r="B11" s="1"/>
      <c r="C11" s="34" t="s">
        <v>52</v>
      </c>
      <c r="D11" s="34" t="s">
        <v>86</v>
      </c>
      <c r="E11" s="34"/>
      <c r="F11" s="1">
        <v>3.32</v>
      </c>
      <c r="G11" s="24">
        <v>136120</v>
      </c>
      <c r="H11" s="29">
        <f>G11</f>
        <v>136120</v>
      </c>
      <c r="I11" s="13" t="s">
        <v>119</v>
      </c>
      <c r="J11" s="7">
        <f t="shared" si="0"/>
        <v>0</v>
      </c>
      <c r="K11" s="38">
        <f t="shared" si="1"/>
        <v>0</v>
      </c>
      <c r="L11" s="6">
        <f t="shared" si="2"/>
        <v>126160</v>
      </c>
      <c r="M11" s="23"/>
      <c r="N11" s="23">
        <f t="shared" si="4"/>
        <v>126160</v>
      </c>
      <c r="O11" s="23">
        <f t="shared" si="3"/>
        <v>133729.60000000001</v>
      </c>
    </row>
    <row r="12" spans="1:18" x14ac:dyDescent="0.25">
      <c r="A12" s="1" t="s">
        <v>19</v>
      </c>
      <c r="B12" s="1"/>
      <c r="C12" s="34" t="s">
        <v>53</v>
      </c>
      <c r="D12" s="34" t="s">
        <v>87</v>
      </c>
      <c r="E12" s="34"/>
      <c r="F12" s="1">
        <v>3.33</v>
      </c>
      <c r="G12" s="24">
        <v>136530</v>
      </c>
      <c r="H12" s="29">
        <f>G12</f>
        <v>136530</v>
      </c>
      <c r="I12" s="13" t="s">
        <v>119</v>
      </c>
      <c r="J12" s="7">
        <f t="shared" si="0"/>
        <v>0</v>
      </c>
      <c r="K12" s="38">
        <f t="shared" si="1"/>
        <v>0</v>
      </c>
      <c r="L12" s="6">
        <f t="shared" si="2"/>
        <v>126540.00000000001</v>
      </c>
      <c r="M12" s="23"/>
      <c r="N12" s="23">
        <f t="shared" si="4"/>
        <v>126540.00000000001</v>
      </c>
      <c r="O12" s="23">
        <f t="shared" si="3"/>
        <v>134132.40000000002</v>
      </c>
    </row>
    <row r="13" spans="1:18" x14ac:dyDescent="0.25">
      <c r="A13" s="1" t="s">
        <v>19</v>
      </c>
      <c r="B13" s="1"/>
      <c r="C13" s="34" t="s">
        <v>54</v>
      </c>
      <c r="D13" s="34" t="s">
        <v>88</v>
      </c>
      <c r="E13" s="34" t="s">
        <v>135</v>
      </c>
      <c r="F13" s="1">
        <v>3.24</v>
      </c>
      <c r="G13" s="24">
        <v>230305.83373000499</v>
      </c>
      <c r="H13" s="29">
        <v>165240</v>
      </c>
      <c r="I13" s="13" t="s">
        <v>119</v>
      </c>
      <c r="J13" s="7">
        <f t="shared" si="0"/>
        <v>-65065.83373000499</v>
      </c>
      <c r="K13" s="38">
        <f t="shared" si="1"/>
        <v>0</v>
      </c>
      <c r="L13" s="6">
        <f t="shared" si="2"/>
        <v>123120.00000000001</v>
      </c>
      <c r="M13" s="23"/>
      <c r="N13" s="23">
        <f t="shared" si="4"/>
        <v>188185.83373000502</v>
      </c>
      <c r="O13" s="23">
        <f t="shared" si="3"/>
        <v>199476.98375380531</v>
      </c>
      <c r="R13" t="s">
        <v>165</v>
      </c>
    </row>
    <row r="14" spans="1:18" x14ac:dyDescent="0.25">
      <c r="A14" s="1" t="s">
        <v>20</v>
      </c>
      <c r="B14" s="1"/>
      <c r="C14" s="141" t="s">
        <v>55</v>
      </c>
      <c r="D14" s="141" t="s">
        <v>89</v>
      </c>
      <c r="E14" s="141" t="s">
        <v>127</v>
      </c>
      <c r="F14" s="142">
        <v>3.33</v>
      </c>
      <c r="G14" s="143">
        <v>137060.00000000003</v>
      </c>
      <c r="H14" s="144">
        <f>137060</f>
        <v>137060</v>
      </c>
      <c r="I14" s="144" t="s">
        <v>119</v>
      </c>
      <c r="J14" s="145">
        <f t="shared" si="0"/>
        <v>0</v>
      </c>
      <c r="K14" s="146">
        <f t="shared" si="1"/>
        <v>0</v>
      </c>
      <c r="L14" s="147">
        <f>N$1*F14%</f>
        <v>126540.00000000001</v>
      </c>
      <c r="M14" s="148">
        <v>0</v>
      </c>
      <c r="N14" s="149">
        <f>L14+K14-J14+M14</f>
        <v>126540.00000000001</v>
      </c>
      <c r="O14" s="149">
        <f t="shared" si="3"/>
        <v>134132.40000000002</v>
      </c>
      <c r="P14" s="11"/>
    </row>
    <row r="15" spans="1:18" x14ac:dyDescent="0.25">
      <c r="A15" s="1" t="s">
        <v>20</v>
      </c>
      <c r="B15" s="1"/>
      <c r="C15" s="34" t="s">
        <v>56</v>
      </c>
      <c r="D15" s="34" t="s">
        <v>90</v>
      </c>
      <c r="E15" s="34"/>
      <c r="F15" s="1">
        <v>3.32</v>
      </c>
      <c r="G15" s="24">
        <v>136120</v>
      </c>
      <c r="H15" s="29">
        <f>G15</f>
        <v>136120</v>
      </c>
      <c r="I15" s="13" t="s">
        <v>119</v>
      </c>
      <c r="J15" s="7">
        <f t="shared" si="0"/>
        <v>0</v>
      </c>
      <c r="K15" s="38">
        <f t="shared" si="1"/>
        <v>0</v>
      </c>
      <c r="L15" s="6">
        <f t="shared" si="2"/>
        <v>126160</v>
      </c>
      <c r="M15" s="23"/>
      <c r="N15" s="23">
        <f t="shared" si="4"/>
        <v>126160</v>
      </c>
      <c r="O15" s="23">
        <f t="shared" si="3"/>
        <v>133729.60000000001</v>
      </c>
    </row>
    <row r="16" spans="1:18" x14ac:dyDescent="0.25">
      <c r="A16" s="1" t="s">
        <v>21</v>
      </c>
      <c r="B16" s="1"/>
      <c r="C16" s="34" t="s">
        <v>57</v>
      </c>
      <c r="D16" s="34" t="s">
        <v>91</v>
      </c>
      <c r="E16" s="34"/>
      <c r="F16" s="1">
        <v>3.33</v>
      </c>
      <c r="G16" s="24">
        <v>136066.30077040009</v>
      </c>
      <c r="H16" s="29">
        <f>G16</f>
        <v>136066.30077040009</v>
      </c>
      <c r="I16" s="13" t="s">
        <v>119</v>
      </c>
      <c r="J16" s="7">
        <f t="shared" si="0"/>
        <v>0</v>
      </c>
      <c r="K16" s="38">
        <f t="shared" si="1"/>
        <v>0</v>
      </c>
      <c r="L16" s="6">
        <f t="shared" si="2"/>
        <v>126540.00000000001</v>
      </c>
      <c r="M16" s="23"/>
      <c r="N16" s="23">
        <f t="shared" si="4"/>
        <v>126540.00000000001</v>
      </c>
      <c r="O16" s="23">
        <f t="shared" si="3"/>
        <v>134132.40000000002</v>
      </c>
    </row>
    <row r="17" spans="1:18" x14ac:dyDescent="0.25">
      <c r="A17" s="1" t="s">
        <v>21</v>
      </c>
      <c r="B17" s="1"/>
      <c r="C17" s="34" t="s">
        <v>58</v>
      </c>
      <c r="D17" s="34" t="s">
        <v>92</v>
      </c>
      <c r="E17" s="34"/>
      <c r="F17" s="1">
        <v>3.24</v>
      </c>
      <c r="G17" s="24">
        <v>132635.34635877251</v>
      </c>
      <c r="H17" s="29">
        <f>199700-H30</f>
        <v>132460</v>
      </c>
      <c r="I17" s="13" t="s">
        <v>119</v>
      </c>
      <c r="J17" s="7">
        <f t="shared" si="0"/>
        <v>-175.34635877251276</v>
      </c>
      <c r="K17" s="38">
        <f t="shared" si="1"/>
        <v>0</v>
      </c>
      <c r="L17" s="6">
        <f t="shared" si="2"/>
        <v>123120.00000000001</v>
      </c>
      <c r="M17" s="23"/>
      <c r="N17" s="23">
        <f t="shared" si="4"/>
        <v>123295.34635877253</v>
      </c>
      <c r="O17" s="23">
        <f t="shared" si="3"/>
        <v>130693.06714029888</v>
      </c>
    </row>
    <row r="18" spans="1:18" x14ac:dyDescent="0.25">
      <c r="A18" s="1" t="s">
        <v>22</v>
      </c>
      <c r="B18" s="1"/>
      <c r="C18" s="34" t="s">
        <v>59</v>
      </c>
      <c r="D18" s="34" t="s">
        <v>93</v>
      </c>
      <c r="E18" s="34" t="s">
        <v>129</v>
      </c>
      <c r="F18" s="1">
        <v>3.33</v>
      </c>
      <c r="G18" s="24">
        <v>136104.7164320001</v>
      </c>
      <c r="H18" s="29">
        <v>135000</v>
      </c>
      <c r="I18" s="13" t="s">
        <v>119</v>
      </c>
      <c r="J18" s="7">
        <f t="shared" si="0"/>
        <v>-1104.7164320001029</v>
      </c>
      <c r="K18" s="38">
        <f t="shared" si="1"/>
        <v>0</v>
      </c>
      <c r="L18" s="6">
        <f t="shared" si="2"/>
        <v>126540.00000000001</v>
      </c>
      <c r="M18" s="23"/>
      <c r="N18" s="23">
        <f t="shared" si="4"/>
        <v>127644.71643200012</v>
      </c>
      <c r="O18" s="23">
        <f t="shared" si="3"/>
        <v>135303.39941792013</v>
      </c>
    </row>
    <row r="19" spans="1:18" x14ac:dyDescent="0.25">
      <c r="A19" s="1" t="s">
        <v>22</v>
      </c>
      <c r="B19" s="1"/>
      <c r="C19" s="34" t="s">
        <v>60</v>
      </c>
      <c r="D19" s="34" t="s">
        <v>94</v>
      </c>
      <c r="E19" s="34"/>
      <c r="F19" s="1">
        <v>3.32</v>
      </c>
      <c r="G19" s="24">
        <v>1540695.487381256</v>
      </c>
      <c r="H19" s="29"/>
      <c r="I19" s="13" t="s">
        <v>139</v>
      </c>
      <c r="J19" s="7">
        <f>H19-G19</f>
        <v>-1540695.487381256</v>
      </c>
      <c r="K19" s="38">
        <f t="shared" si="1"/>
        <v>0</v>
      </c>
      <c r="L19" s="6">
        <f t="shared" si="2"/>
        <v>126160</v>
      </c>
      <c r="M19" s="151"/>
      <c r="N19" s="23">
        <f t="shared" si="4"/>
        <v>1666855.487381256</v>
      </c>
      <c r="O19" s="23">
        <f t="shared" si="3"/>
        <v>1766866.8166241313</v>
      </c>
    </row>
    <row r="20" spans="1:18" x14ac:dyDescent="0.25">
      <c r="A20" s="1" t="s">
        <v>23</v>
      </c>
      <c r="B20" s="1"/>
      <c r="C20" s="34" t="s">
        <v>61</v>
      </c>
      <c r="D20" s="34" t="s">
        <v>95</v>
      </c>
      <c r="E20" s="34"/>
      <c r="F20" s="1">
        <v>3.33</v>
      </c>
      <c r="G20" s="13">
        <v>3081820.7121669492</v>
      </c>
      <c r="H20" s="29"/>
      <c r="I20" s="13" t="s">
        <v>139</v>
      </c>
      <c r="J20" s="41">
        <f t="shared" si="0"/>
        <v>-3081820.7121669492</v>
      </c>
      <c r="K20" s="38">
        <f t="shared" si="1"/>
        <v>0</v>
      </c>
      <c r="L20" s="6">
        <f t="shared" si="2"/>
        <v>126540.00000000001</v>
      </c>
      <c r="M20" s="6"/>
      <c r="N20" s="23">
        <f t="shared" si="4"/>
        <v>3208360.7121669492</v>
      </c>
      <c r="O20" s="23">
        <f t="shared" si="3"/>
        <v>3400862.3548969659</v>
      </c>
      <c r="R20" s="30"/>
    </row>
    <row r="21" spans="1:18" x14ac:dyDescent="0.25">
      <c r="A21" s="1" t="s">
        <v>23</v>
      </c>
      <c r="B21" s="1"/>
      <c r="C21" s="34" t="s">
        <v>62</v>
      </c>
      <c r="D21" s="34" t="s">
        <v>96</v>
      </c>
      <c r="E21" s="34" t="s">
        <v>164</v>
      </c>
      <c r="F21" s="1">
        <v>3.24</v>
      </c>
      <c r="G21" s="24">
        <v>151319.66400000005</v>
      </c>
      <c r="H21" s="29">
        <v>142018</v>
      </c>
      <c r="I21" s="13" t="s">
        <v>139</v>
      </c>
      <c r="J21" s="7">
        <f t="shared" si="0"/>
        <v>-9301.664000000048</v>
      </c>
      <c r="K21" s="38">
        <f t="shared" si="1"/>
        <v>0</v>
      </c>
      <c r="L21" s="6">
        <f t="shared" si="2"/>
        <v>123120.00000000001</v>
      </c>
      <c r="M21" s="151"/>
      <c r="N21" s="23">
        <f t="shared" si="4"/>
        <v>132421.66400000005</v>
      </c>
      <c r="O21" s="23">
        <f t="shared" si="3"/>
        <v>140366.96384000004</v>
      </c>
    </row>
    <row r="22" spans="1:18" x14ac:dyDescent="0.25">
      <c r="A22" s="1" t="s">
        <v>24</v>
      </c>
      <c r="B22" s="1"/>
      <c r="C22" s="34" t="s">
        <v>63</v>
      </c>
      <c r="D22" s="34" t="s">
        <v>97</v>
      </c>
      <c r="E22" s="34"/>
      <c r="F22" s="1">
        <v>3.24</v>
      </c>
      <c r="G22" s="24">
        <v>122080.00000000006</v>
      </c>
      <c r="H22" s="29">
        <v>129404</v>
      </c>
      <c r="I22" s="13" t="s">
        <v>139</v>
      </c>
      <c r="J22" s="7">
        <f t="shared" si="0"/>
        <v>7323.9999999999418</v>
      </c>
      <c r="K22" s="38">
        <f t="shared" si="1"/>
        <v>0</v>
      </c>
      <c r="L22" s="6">
        <f t="shared" si="2"/>
        <v>123120.00000000001</v>
      </c>
      <c r="M22" s="23"/>
      <c r="N22" s="23">
        <f t="shared" si="4"/>
        <v>115796.00000000007</v>
      </c>
      <c r="O22" s="23">
        <f t="shared" si="3"/>
        <v>122743.76000000008</v>
      </c>
    </row>
    <row r="23" spans="1:18" x14ac:dyDescent="0.25">
      <c r="A23" s="1" t="s">
        <v>24</v>
      </c>
      <c r="B23" s="1"/>
      <c r="C23" s="34" t="s">
        <v>64</v>
      </c>
      <c r="D23" s="34" t="s">
        <v>98</v>
      </c>
      <c r="E23" s="34" t="s">
        <v>128</v>
      </c>
      <c r="F23" s="1">
        <v>3.32</v>
      </c>
      <c r="G23" s="24">
        <v>136120.47794799984</v>
      </c>
      <c r="H23" s="29">
        <f>203360*2-H31</f>
        <v>339480</v>
      </c>
      <c r="I23" s="13" t="s">
        <v>139</v>
      </c>
      <c r="J23" s="7">
        <f t="shared" si="0"/>
        <v>203359.52205200016</v>
      </c>
      <c r="K23" s="38">
        <f t="shared" si="1"/>
        <v>0</v>
      </c>
      <c r="L23" s="6">
        <f t="shared" si="2"/>
        <v>126160</v>
      </c>
      <c r="M23" s="23"/>
      <c r="N23" s="23">
        <f t="shared" si="4"/>
        <v>-77199.52205200016</v>
      </c>
      <c r="O23" s="23">
        <f t="shared" si="3"/>
        <v>-81831.493375120175</v>
      </c>
    </row>
    <row r="24" spans="1:18" x14ac:dyDescent="0.25">
      <c r="A24" s="1" t="s">
        <v>25</v>
      </c>
      <c r="B24" s="1"/>
      <c r="C24" s="34" t="s">
        <v>65</v>
      </c>
      <c r="D24" s="34" t="s">
        <v>99</v>
      </c>
      <c r="E24" s="34" t="s">
        <v>124</v>
      </c>
      <c r="F24" s="1">
        <v>3.33</v>
      </c>
      <c r="G24" s="17">
        <v>136530</v>
      </c>
      <c r="H24" s="29">
        <f>G24</f>
        <v>136530</v>
      </c>
      <c r="I24" s="13" t="s">
        <v>139</v>
      </c>
      <c r="J24" s="7">
        <f t="shared" si="0"/>
        <v>0</v>
      </c>
      <c r="K24" s="38">
        <f t="shared" si="1"/>
        <v>0</v>
      </c>
      <c r="L24" s="6">
        <f t="shared" si="2"/>
        <v>126540.00000000001</v>
      </c>
      <c r="M24" s="23"/>
      <c r="N24" s="23">
        <f t="shared" si="4"/>
        <v>126540.00000000001</v>
      </c>
      <c r="O24" s="23">
        <f t="shared" si="3"/>
        <v>134132.40000000002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125</v>
      </c>
      <c r="F25" s="1">
        <v>3.24</v>
      </c>
      <c r="G25" s="24">
        <v>132840.00000000003</v>
      </c>
      <c r="H25" s="29">
        <f>G25</f>
        <v>132840.00000000003</v>
      </c>
      <c r="I25" s="13" t="s">
        <v>139</v>
      </c>
      <c r="J25" s="7">
        <f t="shared" si="0"/>
        <v>0</v>
      </c>
      <c r="K25" s="38">
        <f t="shared" si="1"/>
        <v>0</v>
      </c>
      <c r="L25" s="6">
        <f t="shared" si="2"/>
        <v>123120.00000000001</v>
      </c>
      <c r="M25" s="23"/>
      <c r="N25" s="23">
        <f t="shared" si="4"/>
        <v>123120.00000000001</v>
      </c>
      <c r="O25" s="23">
        <f t="shared" si="3"/>
        <v>130507.20000000001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/>
      <c r="F26" s="1">
        <v>3.33</v>
      </c>
      <c r="G26" s="24">
        <v>136530</v>
      </c>
      <c r="H26" s="29">
        <f>G26</f>
        <v>136530</v>
      </c>
      <c r="I26" s="13" t="s">
        <v>139</v>
      </c>
      <c r="J26" s="7">
        <f t="shared" si="0"/>
        <v>0</v>
      </c>
      <c r="K26" s="38">
        <f t="shared" si="1"/>
        <v>0</v>
      </c>
      <c r="L26" s="6">
        <f t="shared" si="2"/>
        <v>126540.00000000001</v>
      </c>
      <c r="M26" s="23"/>
      <c r="N26" s="23">
        <f t="shared" si="4"/>
        <v>126540.00000000001</v>
      </c>
      <c r="O26" s="23">
        <f t="shared" si="3"/>
        <v>134132.40000000002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168</v>
      </c>
      <c r="F27" s="1">
        <v>3.32</v>
      </c>
      <c r="G27" s="17">
        <v>134753.77491239994</v>
      </c>
      <c r="H27" s="29">
        <v>165000</v>
      </c>
      <c r="I27" s="13" t="s">
        <v>139</v>
      </c>
      <c r="J27" s="7">
        <f t="shared" si="0"/>
        <v>30246.225087600062</v>
      </c>
      <c r="K27" s="38">
        <f t="shared" si="1"/>
        <v>0</v>
      </c>
      <c r="L27" s="6">
        <f t="shared" si="2"/>
        <v>126160</v>
      </c>
      <c r="M27" s="23"/>
      <c r="N27" s="23">
        <f t="shared" si="4"/>
        <v>95913.774912399938</v>
      </c>
      <c r="O27" s="23">
        <f t="shared" si="3"/>
        <v>101668.60140714393</v>
      </c>
      <c r="Q27" s="140" t="s">
        <v>169</v>
      </c>
    </row>
    <row r="28" spans="1:18" x14ac:dyDescent="0.25">
      <c r="A28" s="1" t="s">
        <v>34</v>
      </c>
      <c r="B28" s="1"/>
      <c r="C28" s="34" t="s">
        <v>69</v>
      </c>
      <c r="D28" s="34" t="s">
        <v>103</v>
      </c>
      <c r="E28" s="34" t="s">
        <v>126</v>
      </c>
      <c r="F28" s="1">
        <v>3.33</v>
      </c>
      <c r="G28" s="24">
        <v>136530</v>
      </c>
      <c r="H28" s="29">
        <f>G28</f>
        <v>136530</v>
      </c>
      <c r="I28" s="13" t="s">
        <v>139</v>
      </c>
      <c r="J28" s="7">
        <f t="shared" si="0"/>
        <v>0</v>
      </c>
      <c r="K28" s="38">
        <f t="shared" si="1"/>
        <v>0</v>
      </c>
      <c r="L28" s="6">
        <f t="shared" si="2"/>
        <v>126540.00000000001</v>
      </c>
      <c r="M28" s="23"/>
      <c r="N28" s="23">
        <f t="shared" si="4"/>
        <v>126540.00000000001</v>
      </c>
      <c r="O28" s="23">
        <f t="shared" si="3"/>
        <v>134132.40000000002</v>
      </c>
      <c r="Q28" s="140"/>
    </row>
    <row r="29" spans="1:18" x14ac:dyDescent="0.25">
      <c r="A29" s="1" t="s">
        <v>34</v>
      </c>
      <c r="B29" s="1"/>
      <c r="C29" s="141" t="s">
        <v>70</v>
      </c>
      <c r="D29" s="141" t="s">
        <v>171</v>
      </c>
      <c r="E29" s="141" t="s">
        <v>170</v>
      </c>
      <c r="F29" s="142">
        <v>3.24</v>
      </c>
      <c r="G29" s="143">
        <v>132840.00000000003</v>
      </c>
      <c r="H29" s="144">
        <f>G29</f>
        <v>132840.00000000003</v>
      </c>
      <c r="I29" s="144" t="s">
        <v>139</v>
      </c>
      <c r="J29" s="145">
        <f t="shared" si="0"/>
        <v>0</v>
      </c>
      <c r="K29" s="146">
        <f t="shared" si="1"/>
        <v>0</v>
      </c>
      <c r="L29" s="147">
        <f t="shared" si="2"/>
        <v>123120.00000000001</v>
      </c>
      <c r="M29" s="153"/>
      <c r="N29" s="149">
        <f>L29+K29-J29+M29</f>
        <v>123120.00000000001</v>
      </c>
      <c r="O29" s="149">
        <f t="shared" si="3"/>
        <v>130507.20000000001</v>
      </c>
    </row>
    <row r="30" spans="1:18" x14ac:dyDescent="0.25">
      <c r="A30" s="1" t="s">
        <v>34</v>
      </c>
      <c r="B30" s="1"/>
      <c r="C30" s="34" t="s">
        <v>71</v>
      </c>
      <c r="D30" s="34" t="s">
        <v>92</v>
      </c>
      <c r="E30" s="34"/>
      <c r="F30" s="1">
        <v>1.64</v>
      </c>
      <c r="G30" s="24">
        <v>67239.999999999985</v>
      </c>
      <c r="H30" s="29">
        <f>G30</f>
        <v>67239.999999999985</v>
      </c>
      <c r="I30" s="13" t="s">
        <v>139</v>
      </c>
      <c r="J30" s="7">
        <f t="shared" si="0"/>
        <v>0</v>
      </c>
      <c r="K30" s="38">
        <f t="shared" si="1"/>
        <v>0</v>
      </c>
      <c r="L30" s="6">
        <f t="shared" si="2"/>
        <v>62319.999999999993</v>
      </c>
      <c r="M30" s="23"/>
      <c r="N30" s="23">
        <f t="shared" si="4"/>
        <v>62319.999999999993</v>
      </c>
      <c r="O30" s="23">
        <f t="shared" si="3"/>
        <v>66059.199999999997</v>
      </c>
    </row>
    <row r="31" spans="1:18" x14ac:dyDescent="0.25">
      <c r="A31" s="1" t="s">
        <v>34</v>
      </c>
      <c r="B31" s="1"/>
      <c r="C31" s="34" t="s">
        <v>72</v>
      </c>
      <c r="D31" s="34" t="s">
        <v>98</v>
      </c>
      <c r="E31" s="34"/>
      <c r="F31" s="1">
        <v>1.64</v>
      </c>
      <c r="G31" s="24">
        <v>67239.999999999985</v>
      </c>
      <c r="H31" s="29">
        <f>G31</f>
        <v>67239.999999999985</v>
      </c>
      <c r="I31" s="13" t="s">
        <v>139</v>
      </c>
      <c r="J31" s="7">
        <f t="shared" si="0"/>
        <v>0</v>
      </c>
      <c r="K31" s="38">
        <f t="shared" si="1"/>
        <v>0</v>
      </c>
      <c r="L31" s="6">
        <f t="shared" si="2"/>
        <v>62319.999999999993</v>
      </c>
      <c r="M31" s="23"/>
      <c r="N31" s="23">
        <f t="shared" si="4"/>
        <v>62319.999999999993</v>
      </c>
      <c r="O31" s="23">
        <f t="shared" si="3"/>
        <v>66059.199999999997</v>
      </c>
    </row>
    <row r="32" spans="1:18" x14ac:dyDescent="0.25">
      <c r="A32" s="1" t="s">
        <v>34</v>
      </c>
      <c r="B32" s="1"/>
      <c r="C32" s="34" t="s">
        <v>73</v>
      </c>
      <c r="D32" s="34" t="s">
        <v>83</v>
      </c>
      <c r="E32" s="34"/>
      <c r="F32" s="1">
        <v>1.64</v>
      </c>
      <c r="G32" s="24">
        <v>229189.73443736718</v>
      </c>
      <c r="H32" s="29"/>
      <c r="I32" s="13" t="s">
        <v>139</v>
      </c>
      <c r="J32" s="7">
        <f t="shared" si="0"/>
        <v>-229189.73443736718</v>
      </c>
      <c r="K32" s="38">
        <f t="shared" si="1"/>
        <v>0</v>
      </c>
      <c r="L32" s="6">
        <f t="shared" si="2"/>
        <v>62319.999999999993</v>
      </c>
      <c r="M32" s="23"/>
      <c r="N32" s="23">
        <f t="shared" si="4"/>
        <v>291509.73443736718</v>
      </c>
      <c r="O32" s="23">
        <f t="shared" si="3"/>
        <v>309000.31850360922</v>
      </c>
    </row>
    <row r="33" spans="1:17" x14ac:dyDescent="0.25">
      <c r="A33" s="1" t="s">
        <v>34</v>
      </c>
      <c r="B33" s="1"/>
      <c r="C33" s="34" t="s">
        <v>74</v>
      </c>
      <c r="D33" s="34" t="s">
        <v>104</v>
      </c>
      <c r="E33" s="34"/>
      <c r="F33" s="1">
        <v>1.64</v>
      </c>
      <c r="G33" s="24">
        <v>619906.30447480001</v>
      </c>
      <c r="H33" s="29"/>
      <c r="I33" s="13" t="s">
        <v>139</v>
      </c>
      <c r="J33" s="7">
        <f t="shared" si="0"/>
        <v>-619906.30447480001</v>
      </c>
      <c r="K33" s="38">
        <f t="shared" si="1"/>
        <v>0</v>
      </c>
      <c r="L33" s="6">
        <f t="shared" si="2"/>
        <v>62319.999999999993</v>
      </c>
      <c r="M33" s="23"/>
      <c r="N33" s="23">
        <f t="shared" si="4"/>
        <v>682226.30447480001</v>
      </c>
      <c r="O33" s="23">
        <f t="shared" si="3"/>
        <v>723159.88274328806</v>
      </c>
      <c r="Q33" t="s">
        <v>166</v>
      </c>
    </row>
    <row r="34" spans="1:17" x14ac:dyDescent="0.25">
      <c r="A34" s="1" t="s">
        <v>34</v>
      </c>
      <c r="B34" s="1"/>
      <c r="C34" s="34" t="s">
        <v>75</v>
      </c>
      <c r="D34" s="34" t="s">
        <v>105</v>
      </c>
      <c r="E34" s="34"/>
      <c r="F34" s="1">
        <v>1.64</v>
      </c>
      <c r="G34" s="24">
        <v>67239.999999999985</v>
      </c>
      <c r="H34" s="29">
        <f>G34</f>
        <v>67239.999999999985</v>
      </c>
      <c r="I34" s="13" t="s">
        <v>139</v>
      </c>
      <c r="J34" s="7">
        <f t="shared" si="0"/>
        <v>0</v>
      </c>
      <c r="K34" s="38">
        <f t="shared" si="1"/>
        <v>0</v>
      </c>
      <c r="L34" s="6">
        <f t="shared" si="2"/>
        <v>62319.999999999993</v>
      </c>
      <c r="M34" s="23"/>
      <c r="N34" s="23">
        <f t="shared" si="4"/>
        <v>62319.999999999993</v>
      </c>
      <c r="O34" s="23">
        <f t="shared" si="3"/>
        <v>66059.199999999997</v>
      </c>
    </row>
    <row r="35" spans="1:17" x14ac:dyDescent="0.25">
      <c r="A35" s="1" t="s">
        <v>34</v>
      </c>
      <c r="B35" s="1"/>
      <c r="C35" s="34" t="s">
        <v>76</v>
      </c>
      <c r="D35" s="34" t="s">
        <v>101</v>
      </c>
      <c r="E35" s="34"/>
      <c r="F35" s="1">
        <v>1.64</v>
      </c>
      <c r="G35" s="24">
        <v>67239.999999999985</v>
      </c>
      <c r="H35" s="29">
        <f>G35</f>
        <v>67239.999999999985</v>
      </c>
      <c r="I35" s="13"/>
      <c r="J35" s="7">
        <f t="shared" si="0"/>
        <v>0</v>
      </c>
      <c r="K35" s="38">
        <f t="shared" si="1"/>
        <v>0</v>
      </c>
      <c r="L35" s="6">
        <f t="shared" si="2"/>
        <v>62319.999999999993</v>
      </c>
      <c r="M35" s="23"/>
      <c r="N35" s="23">
        <f t="shared" si="4"/>
        <v>62319.999999999993</v>
      </c>
      <c r="O35" s="23">
        <f t="shared" si="3"/>
        <v>66059.199999999997</v>
      </c>
    </row>
    <row r="36" spans="1:17" x14ac:dyDescent="0.25">
      <c r="A36" s="1" t="s">
        <v>34</v>
      </c>
      <c r="B36" s="1"/>
      <c r="C36" s="34" t="s">
        <v>77</v>
      </c>
      <c r="D36" s="34" t="s">
        <v>95</v>
      </c>
      <c r="E36" s="34"/>
      <c r="F36" s="1">
        <v>1.64</v>
      </c>
      <c r="G36" s="139">
        <v>1472954.7826287674</v>
      </c>
      <c r="H36" s="29"/>
      <c r="I36" s="13" t="s">
        <v>139</v>
      </c>
      <c r="J36" s="7">
        <f t="shared" si="0"/>
        <v>-1472954.7826287674</v>
      </c>
      <c r="K36" s="38">
        <f t="shared" si="1"/>
        <v>0</v>
      </c>
      <c r="L36" s="6">
        <f t="shared" si="2"/>
        <v>62319.999999999993</v>
      </c>
      <c r="M36" s="23"/>
      <c r="N36" s="23">
        <f t="shared" si="4"/>
        <v>1535274.7826287674</v>
      </c>
      <c r="O36" s="23">
        <f t="shared" si="3"/>
        <v>1627391.2695864935</v>
      </c>
      <c r="Q36" s="11"/>
    </row>
    <row r="37" spans="1:17" x14ac:dyDescent="0.25">
      <c r="A37" s="1" t="s">
        <v>34</v>
      </c>
      <c r="B37" s="1"/>
      <c r="C37" s="34" t="s">
        <v>78</v>
      </c>
      <c r="D37" s="34" t="s">
        <v>106</v>
      </c>
      <c r="E37" s="34"/>
      <c r="F37" s="1">
        <v>1.64</v>
      </c>
      <c r="G37" s="24">
        <v>67239.999999999985</v>
      </c>
      <c r="H37" s="29">
        <f>G37</f>
        <v>67239.999999999985</v>
      </c>
      <c r="I37" s="13" t="s">
        <v>139</v>
      </c>
      <c r="J37" s="7">
        <f t="shared" si="0"/>
        <v>0</v>
      </c>
      <c r="K37" s="38">
        <f t="shared" si="1"/>
        <v>0</v>
      </c>
      <c r="L37" s="6">
        <f t="shared" si="2"/>
        <v>62319.999999999993</v>
      </c>
      <c r="M37" s="23"/>
      <c r="N37" s="23">
        <f t="shared" si="4"/>
        <v>62319.999999999993</v>
      </c>
      <c r="O37" s="23">
        <f t="shared" si="3"/>
        <v>66059.199999999997</v>
      </c>
    </row>
    <row r="38" spans="1:17" x14ac:dyDescent="0.25">
      <c r="A38" s="1" t="s">
        <v>34</v>
      </c>
      <c r="B38" s="1"/>
      <c r="C38" s="34" t="s">
        <v>79</v>
      </c>
      <c r="D38" s="34" t="s">
        <v>104</v>
      </c>
      <c r="E38" s="34"/>
      <c r="F38" s="1">
        <v>1.64</v>
      </c>
      <c r="G38" s="24">
        <v>67239.999999999985</v>
      </c>
      <c r="H38" s="29">
        <f>G38</f>
        <v>67239.999999999985</v>
      </c>
      <c r="I38" s="13" t="s">
        <v>139</v>
      </c>
      <c r="J38" s="7">
        <f t="shared" si="0"/>
        <v>0</v>
      </c>
      <c r="K38" s="38">
        <f t="shared" si="1"/>
        <v>0</v>
      </c>
      <c r="L38" s="6">
        <f t="shared" si="2"/>
        <v>62319.999999999993</v>
      </c>
      <c r="M38" s="23"/>
      <c r="N38" s="23">
        <f t="shared" si="4"/>
        <v>62319.999999999993</v>
      </c>
      <c r="O38" s="23">
        <f t="shared" si="3"/>
        <v>66059.199999999997</v>
      </c>
    </row>
    <row r="39" spans="1:17" x14ac:dyDescent="0.25">
      <c r="A39" s="1" t="s">
        <v>34</v>
      </c>
      <c r="B39" s="1"/>
      <c r="C39" s="34" t="s">
        <v>80</v>
      </c>
      <c r="D39" s="34" t="s">
        <v>107</v>
      </c>
      <c r="E39" s="34"/>
      <c r="F39" s="1">
        <v>1.64</v>
      </c>
      <c r="G39" s="24">
        <v>67239.999999999985</v>
      </c>
      <c r="H39" s="29">
        <f>G39</f>
        <v>67239.999999999985</v>
      </c>
      <c r="I39" s="13" t="s">
        <v>139</v>
      </c>
      <c r="J39" s="7">
        <f>H39-G39</f>
        <v>0</v>
      </c>
      <c r="K39" s="38">
        <f t="shared" si="1"/>
        <v>0</v>
      </c>
      <c r="L39" s="6">
        <f t="shared" si="2"/>
        <v>62319.999999999993</v>
      </c>
      <c r="M39" s="23"/>
      <c r="N39" s="23">
        <f t="shared" si="4"/>
        <v>62319.999999999993</v>
      </c>
      <c r="O39" s="23">
        <f t="shared" si="3"/>
        <v>66059.199999999997</v>
      </c>
    </row>
    <row r="40" spans="1:17" x14ac:dyDescent="0.25">
      <c r="A40" s="1" t="s">
        <v>34</v>
      </c>
      <c r="B40" s="1"/>
      <c r="C40" s="34" t="s">
        <v>81</v>
      </c>
      <c r="D40" s="34" t="s">
        <v>108</v>
      </c>
      <c r="E40" s="34"/>
      <c r="F40" s="1">
        <v>1.64</v>
      </c>
      <c r="G40" s="24">
        <v>303388.98363898392</v>
      </c>
      <c r="H40" s="29"/>
      <c r="I40" s="13" t="s">
        <v>119</v>
      </c>
      <c r="J40" s="7">
        <f t="shared" si="0"/>
        <v>-303388.98363898392</v>
      </c>
      <c r="K40" s="38">
        <f t="shared" si="1"/>
        <v>0</v>
      </c>
      <c r="L40" s="6">
        <f t="shared" si="2"/>
        <v>62319.999999999993</v>
      </c>
      <c r="M40" s="23"/>
      <c r="N40" s="23">
        <f t="shared" si="4"/>
        <v>365708.98363898392</v>
      </c>
      <c r="O40" s="23">
        <f t="shared" si="3"/>
        <v>387651.52265732293</v>
      </c>
    </row>
    <row r="41" spans="1:17" ht="14.25" customHeight="1" x14ac:dyDescent="0.25">
      <c r="A41" s="8"/>
      <c r="B41" s="8"/>
      <c r="C41" s="8"/>
      <c r="D41" s="8"/>
      <c r="E41" s="8"/>
      <c r="F41" s="18">
        <f>SUM(F5:F40)</f>
        <v>100.08999999999999</v>
      </c>
      <c r="G41" s="9">
        <f>SUM(G5:G40)</f>
        <v>11425298.249939978</v>
      </c>
      <c r="H41" s="9">
        <f>SUM(H5:H40)</f>
        <v>3870398.8495704001</v>
      </c>
      <c r="I41" s="9"/>
      <c r="J41" s="133">
        <f t="shared" ref="J41:O41" si="5">SUM(J5:J40)</f>
        <v>-7554899.400369579</v>
      </c>
      <c r="K41" s="9">
        <f t="shared" si="5"/>
        <v>0</v>
      </c>
      <c r="L41" s="9">
        <f t="shared" si="5"/>
        <v>3803420</v>
      </c>
      <c r="M41" s="8">
        <f t="shared" si="5"/>
        <v>0</v>
      </c>
      <c r="N41" s="10">
        <f t="shared" si="5"/>
        <v>11358319.400369579</v>
      </c>
      <c r="O41" s="9">
        <f t="shared" si="5"/>
        <v>12039818.564391751</v>
      </c>
    </row>
    <row r="42" spans="1:17" hidden="1" x14ac:dyDescent="0.25">
      <c r="G42" t="s">
        <v>117</v>
      </c>
      <c r="I42">
        <f>SUMIF(I5:I40,"b",H5:H40)</f>
        <v>3803158.8495704001</v>
      </c>
      <c r="L42" s="11"/>
    </row>
    <row r="43" spans="1:17" hidden="1" x14ac:dyDescent="0.25">
      <c r="G43" t="s">
        <v>118</v>
      </c>
      <c r="I43">
        <f>SUMIF(I5:I40,"e",H5:H40)</f>
        <v>0</v>
      </c>
    </row>
    <row r="44" spans="1:17" hidden="1" x14ac:dyDescent="0.25">
      <c r="G44" t="s">
        <v>14</v>
      </c>
      <c r="H44" s="35">
        <f>I42+I43</f>
        <v>3803158.8495704001</v>
      </c>
    </row>
    <row r="45" spans="1:17" ht="6" customHeight="1" x14ac:dyDescent="0.25"/>
    <row r="46" spans="1:17" hidden="1" x14ac:dyDescent="0.25"/>
    <row r="47" spans="1:17" ht="15" customHeight="1" x14ac:dyDescent="0.25">
      <c r="D47" s="179" t="s">
        <v>173</v>
      </c>
      <c r="E47" s="179"/>
      <c r="F47" s="179"/>
      <c r="G47" s="179"/>
      <c r="H47" s="179"/>
      <c r="I47" s="179"/>
      <c r="J47" s="179"/>
      <c r="K47" s="179"/>
      <c r="L47" s="179"/>
      <c r="M47" s="179"/>
      <c r="N47" s="179"/>
    </row>
    <row r="48" spans="1:17" x14ac:dyDescent="0.25"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</row>
    <row r="49" spans="4:14" x14ac:dyDescent="0.25"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</row>
    <row r="50" spans="4:14" x14ac:dyDescent="0.25"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</row>
    <row r="51" spans="4:14" x14ac:dyDescent="0.25"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</row>
    <row r="52" spans="4:14" x14ac:dyDescent="0.25"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</row>
  </sheetData>
  <mergeCells count="17">
    <mergeCell ref="D47:N51"/>
    <mergeCell ref="N2:O2"/>
    <mergeCell ref="N1:O1"/>
    <mergeCell ref="G3:G4"/>
    <mergeCell ref="O3:O4"/>
    <mergeCell ref="H3:H4"/>
    <mergeCell ref="J3:J4"/>
    <mergeCell ref="K3:K4"/>
    <mergeCell ref="L3:L4"/>
    <mergeCell ref="M3:M4"/>
    <mergeCell ref="N3:N4"/>
    <mergeCell ref="A3:A4"/>
    <mergeCell ref="B3:B4"/>
    <mergeCell ref="C3:C4"/>
    <mergeCell ref="D3:D4"/>
    <mergeCell ref="F3:F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94" t="s">
        <v>148</v>
      </c>
      <c r="F7" s="195"/>
      <c r="G7" s="195"/>
      <c r="H7" s="195"/>
      <c r="I7" s="195"/>
      <c r="J7" s="195"/>
      <c r="K7" s="193"/>
      <c r="L7" s="42"/>
      <c r="M7" s="43"/>
    </row>
    <row r="8" spans="5:13" ht="15.75" thickBot="1" x14ac:dyDescent="0.3">
      <c r="E8" s="196" t="s">
        <v>149</v>
      </c>
      <c r="F8" s="195"/>
      <c r="G8" s="195"/>
      <c r="H8" s="195"/>
      <c r="I8" s="195"/>
      <c r="J8" s="195"/>
      <c r="K8" s="193"/>
      <c r="L8" s="44"/>
      <c r="M8" s="45"/>
    </row>
    <row r="9" spans="5:13" x14ac:dyDescent="0.25">
      <c r="E9" s="42"/>
      <c r="F9" s="46"/>
      <c r="G9" s="46"/>
      <c r="H9" s="46"/>
      <c r="I9" s="47"/>
      <c r="J9" s="47" t="s">
        <v>150</v>
      </c>
      <c r="K9" s="45"/>
      <c r="L9" s="44"/>
      <c r="M9" s="45"/>
    </row>
    <row r="10" spans="5:13" x14ac:dyDescent="0.25">
      <c r="E10" s="44" t="s">
        <v>151</v>
      </c>
      <c r="F10" s="47"/>
      <c r="G10" s="47"/>
      <c r="H10" s="47"/>
      <c r="I10" s="47"/>
      <c r="J10" s="47" t="s">
        <v>152</v>
      </c>
      <c r="K10" s="45"/>
      <c r="L10" s="44"/>
      <c r="M10" s="45"/>
    </row>
    <row r="11" spans="5:13" x14ac:dyDescent="0.25">
      <c r="E11" s="48"/>
      <c r="F11" s="49"/>
      <c r="G11" s="49"/>
      <c r="H11" s="49"/>
      <c r="I11" s="49"/>
      <c r="J11" s="49"/>
      <c r="K11" s="50"/>
      <c r="L11" s="44"/>
      <c r="M11" s="45"/>
    </row>
    <row r="12" spans="5:13" x14ac:dyDescent="0.25">
      <c r="E12" s="197" t="s">
        <v>153</v>
      </c>
      <c r="F12" s="198"/>
      <c r="G12" s="198"/>
      <c r="H12" s="198"/>
      <c r="I12" s="198"/>
      <c r="J12" s="198"/>
      <c r="K12" s="199"/>
      <c r="L12" s="44"/>
      <c r="M12" s="45"/>
    </row>
    <row r="13" spans="5:13" x14ac:dyDescent="0.25">
      <c r="E13" s="44"/>
      <c r="F13" s="47"/>
      <c r="G13" s="47"/>
      <c r="H13" s="47"/>
      <c r="I13" s="47"/>
      <c r="J13" s="47"/>
      <c r="K13" s="45"/>
      <c r="L13" s="44"/>
      <c r="M13" s="45"/>
    </row>
    <row r="14" spans="5:13" x14ac:dyDescent="0.25">
      <c r="E14" s="44" t="s">
        <v>154</v>
      </c>
      <c r="F14" s="47"/>
      <c r="G14" s="47" t="str">
        <f>PRORRATEO!D10</f>
        <v>RAMOS PAMELA</v>
      </c>
      <c r="H14" s="47"/>
      <c r="I14" s="47" t="s">
        <v>155</v>
      </c>
      <c r="J14" s="51">
        <v>45600</v>
      </c>
      <c r="K14" s="45"/>
      <c r="L14" s="187" t="s">
        <v>156</v>
      </c>
      <c r="M14" s="188"/>
    </row>
    <row r="15" spans="5:13" x14ac:dyDescent="0.25">
      <c r="E15" s="44" t="s">
        <v>157</v>
      </c>
      <c r="F15" s="52" t="str">
        <f>PRORRATEO!C10</f>
        <v>2A</v>
      </c>
      <c r="G15" s="47"/>
      <c r="H15" s="47"/>
      <c r="I15" s="47"/>
      <c r="J15" s="47"/>
      <c r="K15" s="45"/>
      <c r="L15" s="44"/>
      <c r="M15" s="45"/>
    </row>
    <row r="16" spans="5:13" x14ac:dyDescent="0.25">
      <c r="E16" s="44"/>
      <c r="F16" s="47"/>
      <c r="G16" s="47"/>
      <c r="H16" s="47"/>
      <c r="I16" s="47"/>
      <c r="J16" s="47"/>
      <c r="K16" s="45"/>
      <c r="L16" s="189"/>
      <c r="M16" s="188"/>
    </row>
    <row r="17" spans="5:15" x14ac:dyDescent="0.25">
      <c r="E17" s="44"/>
      <c r="F17" s="47"/>
      <c r="G17" s="47"/>
      <c r="H17" s="47"/>
      <c r="I17" s="47"/>
      <c r="J17" s="47"/>
      <c r="K17" s="45"/>
      <c r="L17" s="44"/>
      <c r="M17" s="45"/>
    </row>
    <row r="18" spans="5:15" x14ac:dyDescent="0.25">
      <c r="E18" s="44"/>
      <c r="F18" s="47"/>
      <c r="G18" s="47"/>
      <c r="H18" s="47"/>
      <c r="I18" s="47"/>
      <c r="J18" s="47"/>
      <c r="K18" s="45"/>
      <c r="L18" s="44"/>
      <c r="M18" s="45"/>
    </row>
    <row r="19" spans="5:15" ht="15.75" thickBot="1" x14ac:dyDescent="0.3">
      <c r="E19" s="44"/>
      <c r="F19" s="47"/>
      <c r="G19" s="47"/>
      <c r="H19" s="47"/>
      <c r="I19" s="47"/>
      <c r="J19" s="47"/>
      <c r="K19" s="45"/>
      <c r="L19" s="53"/>
      <c r="M19" s="54"/>
    </row>
    <row r="20" spans="5:15" ht="15.75" thickBot="1" x14ac:dyDescent="0.3">
      <c r="E20" s="190" t="s">
        <v>158</v>
      </c>
      <c r="F20" s="191"/>
      <c r="G20" s="191"/>
      <c r="H20" s="191"/>
      <c r="I20" s="191"/>
      <c r="J20" s="192">
        <f>PRORRATEO!H10</f>
        <v>136530</v>
      </c>
      <c r="K20" s="193"/>
      <c r="L20" s="55"/>
      <c r="M20" s="56"/>
    </row>
    <row r="24" spans="5:15" ht="15.75" thickBot="1" x14ac:dyDescent="0.3"/>
    <row r="25" spans="5:15" ht="15.75" thickBot="1" x14ac:dyDescent="0.3">
      <c r="G25" s="194" t="s">
        <v>148</v>
      </c>
      <c r="H25" s="195"/>
      <c r="I25" s="195"/>
      <c r="J25" s="195"/>
      <c r="K25" s="195"/>
      <c r="L25" s="195"/>
      <c r="M25" s="193"/>
      <c r="N25" s="42"/>
      <c r="O25" s="43"/>
    </row>
    <row r="26" spans="5:15" ht="15.75" thickBot="1" x14ac:dyDescent="0.3">
      <c r="G26" s="196" t="s">
        <v>149</v>
      </c>
      <c r="H26" s="195"/>
      <c r="I26" s="195"/>
      <c r="J26" s="195"/>
      <c r="K26" s="195"/>
      <c r="L26" s="195"/>
      <c r="M26" s="193"/>
      <c r="N26" s="44"/>
      <c r="O26" s="45"/>
    </row>
    <row r="27" spans="5:15" x14ac:dyDescent="0.25">
      <c r="G27" s="42"/>
      <c r="H27" s="46"/>
      <c r="I27" s="46"/>
      <c r="J27" s="46"/>
      <c r="K27" s="47"/>
      <c r="L27" s="47" t="s">
        <v>150</v>
      </c>
      <c r="M27" s="45"/>
      <c r="N27" s="44"/>
      <c r="O27" s="45"/>
    </row>
    <row r="28" spans="5:15" x14ac:dyDescent="0.25">
      <c r="G28" s="44" t="s">
        <v>151</v>
      </c>
      <c r="H28" s="47"/>
      <c r="I28" s="47"/>
      <c r="J28" s="47"/>
      <c r="K28" s="47"/>
      <c r="L28" s="47" t="s">
        <v>152</v>
      </c>
      <c r="M28" s="45"/>
      <c r="N28" s="44"/>
      <c r="O28" s="45"/>
    </row>
    <row r="29" spans="5:15" x14ac:dyDescent="0.25">
      <c r="G29" s="48"/>
      <c r="H29" s="49"/>
      <c r="I29" s="49"/>
      <c r="J29" s="49"/>
      <c r="K29" s="49"/>
      <c r="L29" s="49"/>
      <c r="M29" s="50"/>
      <c r="N29" s="44"/>
      <c r="O29" s="45"/>
    </row>
    <row r="30" spans="5:15" x14ac:dyDescent="0.25">
      <c r="G30" s="197" t="s">
        <v>153</v>
      </c>
      <c r="H30" s="198"/>
      <c r="I30" s="198"/>
      <c r="J30" s="198"/>
      <c r="K30" s="198"/>
      <c r="L30" s="198"/>
      <c r="M30" s="199"/>
      <c r="N30" s="44"/>
      <c r="O30" s="45"/>
    </row>
    <row r="31" spans="5:15" x14ac:dyDescent="0.25">
      <c r="G31" s="44"/>
      <c r="H31" s="47"/>
      <c r="I31" s="47"/>
      <c r="J31" s="47"/>
      <c r="K31" s="47"/>
      <c r="L31" s="47"/>
      <c r="M31" s="45"/>
      <c r="N31" s="44"/>
      <c r="O31" s="45"/>
    </row>
    <row r="32" spans="5:15" x14ac:dyDescent="0.25">
      <c r="G32" s="44" t="s">
        <v>154</v>
      </c>
      <c r="H32" s="47"/>
      <c r="I32" s="47"/>
      <c r="J32" s="47"/>
      <c r="K32" s="47" t="s">
        <v>155</v>
      </c>
      <c r="L32" s="51">
        <v>45600</v>
      </c>
      <c r="M32" s="45"/>
      <c r="N32" s="187" t="s">
        <v>156</v>
      </c>
      <c r="O32" s="188"/>
    </row>
    <row r="33" spans="7:15" x14ac:dyDescent="0.25">
      <c r="G33" s="44" t="s">
        <v>157</v>
      </c>
      <c r="H33" s="52" t="str">
        <f>PRORRATEO!E28</f>
        <v>Nelida</v>
      </c>
      <c r="I33" s="47"/>
      <c r="J33" s="47"/>
      <c r="K33" s="47"/>
      <c r="L33" s="47"/>
      <c r="M33" s="45"/>
      <c r="N33" s="44"/>
      <c r="O33" s="45"/>
    </row>
    <row r="34" spans="7:15" x14ac:dyDescent="0.25">
      <c r="G34" s="44"/>
      <c r="H34" s="47"/>
      <c r="I34" s="47"/>
      <c r="J34" s="47"/>
      <c r="K34" s="47"/>
      <c r="L34" s="47"/>
      <c r="M34" s="45"/>
      <c r="N34" s="189"/>
      <c r="O34" s="188"/>
    </row>
    <row r="35" spans="7:15" x14ac:dyDescent="0.25">
      <c r="G35" s="44"/>
      <c r="H35" s="47"/>
      <c r="I35" s="47"/>
      <c r="J35" s="47"/>
      <c r="K35" s="47"/>
      <c r="L35" s="47"/>
      <c r="M35" s="45"/>
      <c r="N35" s="44"/>
      <c r="O35" s="45"/>
    </row>
    <row r="36" spans="7:15" x14ac:dyDescent="0.25">
      <c r="G36" s="44"/>
      <c r="H36" s="47"/>
      <c r="I36" s="47"/>
      <c r="J36" s="47"/>
      <c r="K36" s="47"/>
      <c r="L36" s="47"/>
      <c r="M36" s="45"/>
      <c r="N36" s="44"/>
      <c r="O36" s="45"/>
    </row>
    <row r="37" spans="7:15" ht="15.75" thickBot="1" x14ac:dyDescent="0.3">
      <c r="G37" s="44"/>
      <c r="H37" s="47"/>
      <c r="I37" s="47"/>
      <c r="J37" s="47"/>
      <c r="K37" s="47"/>
      <c r="L37" s="47"/>
      <c r="M37" s="45"/>
      <c r="N37" s="53"/>
      <c r="O37" s="54"/>
    </row>
    <row r="38" spans="7:15" ht="15.75" thickBot="1" x14ac:dyDescent="0.3">
      <c r="G38" s="190" t="s">
        <v>158</v>
      </c>
      <c r="H38" s="191"/>
      <c r="I38" s="191"/>
      <c r="J38" s="191"/>
      <c r="K38" s="191"/>
      <c r="L38" s="192">
        <f>PRORRATEO!J28</f>
        <v>0</v>
      </c>
      <c r="M38" s="193"/>
      <c r="N38" s="55"/>
      <c r="O38" s="56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2025-11-30T18:54:10Z</cp:lastPrinted>
  <dcterms:created xsi:type="dcterms:W3CDTF">2023-09-17T12:29:07Z</dcterms:created>
  <dcterms:modified xsi:type="dcterms:W3CDTF">2025-12-03T18:23:09Z</dcterms:modified>
</cp:coreProperties>
</file>