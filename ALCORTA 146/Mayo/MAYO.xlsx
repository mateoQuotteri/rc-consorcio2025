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ALCORTA 146\Mayo\"/>
    </mc:Choice>
  </mc:AlternateContent>
  <xr:revisionPtr revIDLastSave="0" documentId="13_ncr:1_{FEA60252-FCA3-436B-A4B2-8454B6831EF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UMEN" sheetId="1" r:id="rId1"/>
    <sheet name="PRORRATEO" sheetId="2" r:id="rId2"/>
    <sheet name="Recibo " sheetId="3" r:id="rId3"/>
  </sheets>
  <definedNames>
    <definedName name="_xlnm.Print_Area" localSheetId="1">PRORRATEO!$A$1:$O$55</definedName>
    <definedName name="_xlnm.Print_Area" localSheetId="2">'Recibo '!$E$6:$N$21</definedName>
    <definedName name="_xlnm.Print_Area" localSheetId="0">RESUMEN!$A$1:$E$130</definedName>
  </definedNames>
  <calcPr calcId="181029"/>
</workbook>
</file>

<file path=xl/calcChain.xml><?xml version="1.0" encoding="utf-8"?>
<calcChain xmlns="http://schemas.openxmlformats.org/spreadsheetml/2006/main">
  <c r="H23" i="2" l="1"/>
  <c r="H18" i="2" l="1"/>
  <c r="D78" i="1"/>
  <c r="H29" i="2" l="1"/>
  <c r="H19" i="2"/>
  <c r="H21" i="2"/>
  <c r="H35" i="2"/>
  <c r="H8" i="2"/>
  <c r="H9" i="2"/>
  <c r="H14" i="2"/>
  <c r="H27" i="2"/>
  <c r="H7" i="2" l="1"/>
  <c r="H25" i="2"/>
  <c r="N3" i="2" l="1"/>
  <c r="H17" i="2" l="1"/>
  <c r="H10" i="2"/>
  <c r="H11" i="2"/>
  <c r="H13" i="2" l="1"/>
  <c r="H30" i="2"/>
  <c r="B119" i="1" l="1"/>
  <c r="H12" i="2"/>
  <c r="E76" i="1" l="1"/>
  <c r="E69" i="1"/>
  <c r="E57" i="1"/>
  <c r="E50" i="1"/>
  <c r="E46" i="1"/>
  <c r="E37" i="1"/>
  <c r="E41" i="1"/>
  <c r="G39" i="1" l="1"/>
  <c r="E80" i="1"/>
  <c r="E84" i="1" s="1"/>
  <c r="H33" i="3" l="1"/>
  <c r="H32" i="2" l="1"/>
  <c r="H26" i="2"/>
  <c r="J20" i="3"/>
  <c r="F15" i="3"/>
  <c r="G14" i="3"/>
  <c r="H33" i="2" l="1"/>
  <c r="A54" i="1" l="1"/>
  <c r="K8" i="2" l="1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7" i="2"/>
  <c r="C91" i="1"/>
  <c r="B97" i="1" s="1"/>
  <c r="B98" i="1" l="1"/>
  <c r="H40" i="2" l="1"/>
  <c r="J21" i="2" l="1"/>
  <c r="A55" i="1" l="1"/>
  <c r="C129" i="1" l="1"/>
  <c r="H36" i="2"/>
  <c r="C54" i="1" l="1"/>
  <c r="C55" i="1" s="1"/>
  <c r="F43" i="2" l="1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7" i="2"/>
  <c r="K43" i="2"/>
  <c r="G43" i="2"/>
  <c r="J14" i="2"/>
  <c r="I45" i="2"/>
  <c r="B118" i="1" s="1"/>
  <c r="B123" i="1" s="1"/>
  <c r="H39" i="2"/>
  <c r="J39" i="2" s="1"/>
  <c r="H37" i="2"/>
  <c r="J37" i="2" s="1"/>
  <c r="J36" i="2"/>
  <c r="J19" i="2"/>
  <c r="J30" i="2"/>
  <c r="L38" i="3" s="1"/>
  <c r="H28" i="2"/>
  <c r="J28" i="2" s="1"/>
  <c r="J26" i="2"/>
  <c r="J23" i="2"/>
  <c r="N23" i="2" s="1"/>
  <c r="J8" i="2"/>
  <c r="J9" i="2"/>
  <c r="J10" i="2"/>
  <c r="J11" i="2"/>
  <c r="J12" i="2"/>
  <c r="J13" i="2"/>
  <c r="J15" i="2"/>
  <c r="J16" i="2"/>
  <c r="J17" i="2"/>
  <c r="J20" i="2"/>
  <c r="J22" i="2"/>
  <c r="J24" i="2"/>
  <c r="J25" i="2"/>
  <c r="J27" i="2"/>
  <c r="J29" i="2"/>
  <c r="J31" i="2"/>
  <c r="J33" i="2"/>
  <c r="J34" i="2"/>
  <c r="J35" i="2"/>
  <c r="J38" i="2"/>
  <c r="J40" i="2"/>
  <c r="J41" i="2"/>
  <c r="J42" i="2"/>
  <c r="J7" i="2"/>
  <c r="N11" i="2" l="1"/>
  <c r="N19" i="2"/>
  <c r="N16" i="2"/>
  <c r="N15" i="2"/>
  <c r="N31" i="2"/>
  <c r="N24" i="2"/>
  <c r="N20" i="2"/>
  <c r="N35" i="2"/>
  <c r="N40" i="2"/>
  <c r="N27" i="2"/>
  <c r="N12" i="2"/>
  <c r="N39" i="2"/>
  <c r="N22" i="2"/>
  <c r="N21" i="2"/>
  <c r="N28" i="2"/>
  <c r="N36" i="2"/>
  <c r="L43" i="2"/>
  <c r="N17" i="2"/>
  <c r="J32" i="2"/>
  <c r="N32" i="2" s="1"/>
  <c r="N7" i="2"/>
  <c r="N29" i="2"/>
  <c r="N42" i="2"/>
  <c r="N38" i="2"/>
  <c r="N34" i="2"/>
  <c r="N10" i="2"/>
  <c r="N8" i="2"/>
  <c r="N41" i="2"/>
  <c r="N37" i="2"/>
  <c r="N33" i="2"/>
  <c r="N13" i="2"/>
  <c r="N9" i="2"/>
  <c r="N14" i="2"/>
  <c r="N26" i="2"/>
  <c r="N25" i="2"/>
  <c r="N30" i="2"/>
  <c r="M43" i="2"/>
  <c r="B96" i="1" l="1"/>
  <c r="O25" i="2"/>
  <c r="O14" i="2"/>
  <c r="O12" i="2"/>
  <c r="O22" i="2"/>
  <c r="O33" i="2"/>
  <c r="O40" i="2"/>
  <c r="O42" i="2"/>
  <c r="B99" i="1" l="1"/>
  <c r="B111" i="1" s="1"/>
  <c r="O30" i="2"/>
  <c r="O7" i="2"/>
  <c r="O13" i="2"/>
  <c r="O41" i="2"/>
  <c r="O38" i="2"/>
  <c r="O34" i="2"/>
  <c r="O28" i="2"/>
  <c r="O36" i="2"/>
  <c r="O32" i="2"/>
  <c r="O15" i="2"/>
  <c r="O11" i="2"/>
  <c r="O9" i="2"/>
  <c r="O23" i="2"/>
  <c r="O35" i="2"/>
  <c r="O31" i="2"/>
  <c r="O20" i="2"/>
  <c r="O10" i="2"/>
  <c r="O17" i="2"/>
  <c r="O26" i="2"/>
  <c r="O27" i="2"/>
  <c r="O8" i="2"/>
  <c r="O19" i="2"/>
  <c r="O21" i="2"/>
  <c r="O24" i="2"/>
  <c r="O29" i="2"/>
  <c r="O37" i="2"/>
  <c r="O16" i="2"/>
  <c r="O39" i="2"/>
  <c r="B95" i="1" l="1"/>
  <c r="H43" i="2"/>
  <c r="J18" i="2"/>
  <c r="I44" i="2"/>
  <c r="H46" i="2" s="1"/>
  <c r="N18" i="2" l="1"/>
  <c r="N43" i="2" s="1"/>
  <c r="J43" i="2"/>
  <c r="B106" i="1"/>
  <c r="B112" i="1" s="1"/>
  <c r="O18" i="2" l="1"/>
  <c r="O43" i="2" s="1"/>
</calcChain>
</file>

<file path=xl/sharedStrings.xml><?xml version="1.0" encoding="utf-8"?>
<sst xmlns="http://schemas.openxmlformats.org/spreadsheetml/2006/main" count="290" uniqueCount="209">
  <si>
    <t>LIQUIDACION DE EXPENSAS</t>
  </si>
  <si>
    <t>TOTAL SUELDO</t>
  </si>
  <si>
    <t>IMPUESTO</t>
  </si>
  <si>
    <t>TOTAL IMPUESTO</t>
  </si>
  <si>
    <t>TOTAL Aportes y Contribuciones - Sindicato</t>
  </si>
  <si>
    <t>TOTAL ABONOS Y SERVICIOS</t>
  </si>
  <si>
    <t>ESTADO DE CUENTA Y PRORRATEO</t>
  </si>
  <si>
    <t>Gastos Ordinarios:</t>
  </si>
  <si>
    <t>Piso</t>
  </si>
  <si>
    <t>Dpto.</t>
  </si>
  <si>
    <t>UF</t>
  </si>
  <si>
    <t>Propietario</t>
  </si>
  <si>
    <t xml:space="preserve">Saldo </t>
  </si>
  <si>
    <t xml:space="preserve">Ingreso </t>
  </si>
  <si>
    <t>Expensas extraor.</t>
  </si>
  <si>
    <t>SUM</t>
  </si>
  <si>
    <t>TOTAL</t>
  </si>
  <si>
    <t>PB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</si>
  <si>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</si>
  <si>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</si>
  <si>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</si>
  <si>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</si>
  <si>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</si>
  <si>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</si>
  <si>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</si>
  <si>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</si>
  <si>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</si>
  <si>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</si>
  <si>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</si>
  <si>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</si>
  <si>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</si>
  <si>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TOTAL EXPENSAS 1er VTO</t>
  </si>
  <si>
    <t>TOTAL EXPENSAS 2do VTO</t>
  </si>
  <si>
    <t>Expensas ord</t>
  </si>
  <si>
    <t>GASTOS ORDINARIOS UNIDADES FUNCIONALES:</t>
  </si>
  <si>
    <t>Ingresos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</si>
  <si>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</si>
  <si>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</si>
  <si>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</si>
  <si>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</si>
  <si>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</si>
  <si>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</si>
  <si>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>Saldo anterior</t>
  </si>
  <si>
    <t>Egresos</t>
  </si>
  <si>
    <t>Ingreso</t>
  </si>
  <si>
    <t>RESUMEN CAJA</t>
  </si>
  <si>
    <t>Saldo final</t>
  </si>
  <si>
    <t>CONSORCIO DE PROPIETARIOS DEL EDIFICIO CALLE AMANCIO ALCORTA 146</t>
  </si>
  <si>
    <t>CUIT: 30-60093228-0</t>
  </si>
  <si>
    <t>1A</t>
  </si>
  <si>
    <t>1B</t>
  </si>
  <si>
    <t>1C</t>
  </si>
  <si>
    <t>1D</t>
  </si>
  <si>
    <t>2A</t>
  </si>
  <si>
    <t>2B</t>
  </si>
  <si>
    <t>2C</t>
  </si>
  <si>
    <t>2D</t>
  </si>
  <si>
    <t>3A</t>
  </si>
  <si>
    <t>3B</t>
  </si>
  <si>
    <t>3C</t>
  </si>
  <si>
    <t>3D</t>
  </si>
  <si>
    <t>4A</t>
  </si>
  <si>
    <t>4B</t>
  </si>
  <si>
    <t>4C</t>
  </si>
  <si>
    <t>4D</t>
  </si>
  <si>
    <t>5A</t>
  </si>
  <si>
    <t>5B</t>
  </si>
  <si>
    <t>5C</t>
  </si>
  <si>
    <t>5D</t>
  </si>
  <si>
    <t>6A</t>
  </si>
  <si>
    <t>6B</t>
  </si>
  <si>
    <t>6C</t>
  </si>
  <si>
    <t>6D</t>
  </si>
  <si>
    <t>COCH1</t>
  </si>
  <si>
    <t>COCH2</t>
  </si>
  <si>
    <t>COCH3</t>
  </si>
  <si>
    <t>COCH4</t>
  </si>
  <si>
    <t>COCH5</t>
  </si>
  <si>
    <t>COCH6</t>
  </si>
  <si>
    <t>COCH7</t>
  </si>
  <si>
    <t>COCH8</t>
  </si>
  <si>
    <t>COCH9</t>
  </si>
  <si>
    <t>COCH10</t>
  </si>
  <si>
    <t>COCH11</t>
  </si>
  <si>
    <t>VITAL VANESA</t>
  </si>
  <si>
    <t>SASSI A.</t>
  </si>
  <si>
    <t>BOCALANDRO M.E</t>
  </si>
  <si>
    <t>PALUMBO ANTONIO</t>
  </si>
  <si>
    <t>TEXIDO EMILIO</t>
  </si>
  <si>
    <t>FIGUEIRA ALBERTO</t>
  </si>
  <si>
    <t>DECIMA SEGUNDO</t>
  </si>
  <si>
    <t>MARQUEZ DELIA</t>
  </si>
  <si>
    <t>ROMERO GONZALO</t>
  </si>
  <si>
    <t>DEL CASTILLO LAURA</t>
  </si>
  <si>
    <t>MOLINA MATIAS</t>
  </si>
  <si>
    <t>GRECCO CELESTE</t>
  </si>
  <si>
    <t>RUSSO L.H</t>
  </si>
  <si>
    <t>FERNANDEZ DANIEL</t>
  </si>
  <si>
    <t>CORTESE KARINA</t>
  </si>
  <si>
    <t>SALADINO PABLO</t>
  </si>
  <si>
    <t>VILA LEANDRO</t>
  </si>
  <si>
    <t>MARTINEZ D</t>
  </si>
  <si>
    <t>MORINI SERGIO</t>
  </si>
  <si>
    <t>MARCHINI MARIO</t>
  </si>
  <si>
    <t>AGÜERO CARLOS</t>
  </si>
  <si>
    <t>PEREZ MARIA</t>
  </si>
  <si>
    <t>NN</t>
  </si>
  <si>
    <t>CURRA LETICIA</t>
  </si>
  <si>
    <t>NN VITAL VANESA</t>
  </si>
  <si>
    <t>DAVOLA MARTA</t>
  </si>
  <si>
    <t>GUZMAN MIMA</t>
  </si>
  <si>
    <t>Gastos Extraordinarios:</t>
  </si>
  <si>
    <t xml:space="preserve">Sueldo SR Vicente Aldo Adrian </t>
  </si>
  <si>
    <t>Retenciones</t>
  </si>
  <si>
    <t xml:space="preserve">TOTAL </t>
  </si>
  <si>
    <t>APORTES Y CONTRIBUCIONES</t>
  </si>
  <si>
    <t>GASTOS GENERALES / MANTENIMIENTO</t>
  </si>
  <si>
    <t>ABONOS Y SERVICIOS</t>
  </si>
  <si>
    <t xml:space="preserve">SUELDO </t>
  </si>
  <si>
    <t>EDESUR Nro de cliente : 01121996</t>
  </si>
  <si>
    <t>ORTIZ MIRAZ</t>
  </si>
  <si>
    <t>BANCO</t>
  </si>
  <si>
    <t>EF</t>
  </si>
  <si>
    <t>b</t>
  </si>
  <si>
    <t>e</t>
  </si>
  <si>
    <t>ARBA</t>
  </si>
  <si>
    <t xml:space="preserve">EDESUR Nro de cliente : 01121995   </t>
  </si>
  <si>
    <t>HABERES</t>
  </si>
  <si>
    <t>TSG</t>
  </si>
  <si>
    <t>Suterh</t>
  </si>
  <si>
    <t>Seracarh</t>
  </si>
  <si>
    <t>Fatheryh</t>
  </si>
  <si>
    <t>Inquilinos</t>
  </si>
  <si>
    <t>Hector Gira</t>
  </si>
  <si>
    <t>Sabrina</t>
  </si>
  <si>
    <t>Cecilia</t>
  </si>
  <si>
    <t>Nelida</t>
  </si>
  <si>
    <t xml:space="preserve">Andrea </t>
  </si>
  <si>
    <t>Taller</t>
  </si>
  <si>
    <t>Angela</t>
  </si>
  <si>
    <t>E</t>
  </si>
  <si>
    <t>HONORARIOS</t>
  </si>
  <si>
    <t xml:space="preserve">Gustavo Padron </t>
  </si>
  <si>
    <t>HONORARIOS administracion</t>
  </si>
  <si>
    <t>RAMOS PAMELA</t>
  </si>
  <si>
    <t>MP:1148</t>
  </si>
  <si>
    <t>Redondeo</t>
  </si>
  <si>
    <t>DEUDA o SALDO A F</t>
  </si>
  <si>
    <t xml:space="preserve">Barbara </t>
  </si>
  <si>
    <t xml:space="preserve">MAIL: amancioalcorta146rc@gmail.com
</t>
  </si>
  <si>
    <t>Fotocopias</t>
  </si>
  <si>
    <t>EDESUR Nro de cliente : 01121994</t>
  </si>
  <si>
    <t>B</t>
  </si>
  <si>
    <t>Aldo</t>
  </si>
  <si>
    <t>Domicilio: Dr. Melo Nº 2958 - 8vo piso (cita previa) Lanus</t>
  </si>
  <si>
    <t>TOTAL SAC</t>
  </si>
  <si>
    <t>Deducciones</t>
  </si>
  <si>
    <t>SAC</t>
  </si>
  <si>
    <t>GASTOS EXTRAORDINARIOS</t>
  </si>
  <si>
    <t>GASTOS EXTRAORD SIN PREVISION</t>
  </si>
  <si>
    <t>GASTOS EXTRAORD + PREVISION</t>
  </si>
  <si>
    <t>EGRESOS REALES TOTAL</t>
  </si>
  <si>
    <t>Mercantil andina - Poliza nro. 001169864</t>
  </si>
  <si>
    <t xml:space="preserve">PREVISION EXTRAORDINARIA </t>
  </si>
  <si>
    <t>PAGOS NO IDENTIFICADOS</t>
  </si>
  <si>
    <t>RECIBO DE EXPENSAS</t>
  </si>
  <si>
    <t>CONSORCIO: ADMINISTRACION DE CONSORCIOS RC</t>
  </si>
  <si>
    <t>PERIODO: OCTUBRE</t>
  </si>
  <si>
    <t>Adminstradora: Carolina Canciani</t>
  </si>
  <si>
    <t>VENCIMIENTO: NOVIEMBRE</t>
  </si>
  <si>
    <t>EXPENSAS ORDINARIAS</t>
  </si>
  <si>
    <t>Nombre y apellido:</t>
  </si>
  <si>
    <t>Fecha:</t>
  </si>
  <si>
    <t>Sello o firma autoriada:</t>
  </si>
  <si>
    <t>UF:</t>
  </si>
  <si>
    <t>Total recibido:</t>
  </si>
  <si>
    <t>BANCO MACRO $ (pesos)</t>
  </si>
  <si>
    <t>ALIAS: EGECUTE.DEHESA.FOCO,</t>
  </si>
  <si>
    <t>CBU: 2850939030007264271000</t>
  </si>
  <si>
    <t>CUENTA CORRIENTE EN PESOS: MACRO     SUCURSAL:939    CUENTA BANCARIA NRO. 393900726427100</t>
  </si>
  <si>
    <t>Mantenimiento ascensores</t>
  </si>
  <si>
    <t>MAFRE Seguro de vida colectivo retroactivo 2025</t>
  </si>
  <si>
    <t>ES DE CARÁCTER OBLIGATORIO ENVIAR LOS COMPROBANTES DE TRANSFERENCIAS. DE LO CONTRARIO, DEBEN REVISAR EN LA PARTE INFERIOR QUE HAY DEPOSITOS NO IDENTIFICADOS. A PARTIR DE FEBRERO, QUIEN NO INFORME, CORRERA LA SUERTE DE PAGAR IGUALMENTE LOS PUNITORIOS.</t>
  </si>
  <si>
    <t>Olga</t>
  </si>
  <si>
    <t>ESTA ES LARROCA</t>
  </si>
  <si>
    <t>PREVISION ORDINARIA PARA MANTENER LAS EXPENSAS</t>
  </si>
  <si>
    <t>Cuota 4</t>
  </si>
  <si>
    <t>Debito 14/04</t>
  </si>
  <si>
    <t xml:space="preserve">AYSA </t>
  </si>
  <si>
    <t>Kromacolor compra de pintura - techo 2B</t>
  </si>
  <si>
    <t>Aumentados en marz</t>
  </si>
  <si>
    <t>Articulos de limpieza</t>
  </si>
  <si>
    <t>Punitorios mal cobrados por pago NO informado 5 D</t>
  </si>
  <si>
    <t>Pago ya identificado diciembre</t>
  </si>
  <si>
    <t>FERNANDA</t>
  </si>
  <si>
    <t>Transferencia sin identificar 07/04</t>
  </si>
  <si>
    <t>Pago ya identificado febrero</t>
  </si>
  <si>
    <t>Salvatierra Matias -  Desobstruccion de cocina y baño en UF 3D</t>
  </si>
  <si>
    <t>VTO : 16/06</t>
  </si>
  <si>
    <t>PERÍODO: MAYO</t>
  </si>
  <si>
    <t>Mes de MAYO</t>
  </si>
  <si>
    <t>Sindicatos periodo MAYO</t>
  </si>
  <si>
    <t xml:space="preserve">AYSA  - Mes de MAYO </t>
  </si>
  <si>
    <t>MAYO</t>
  </si>
  <si>
    <t>Metrogas MAYO</t>
  </si>
  <si>
    <t>Mes ABRIL</t>
  </si>
  <si>
    <t>ARCA MES DE ABRIL</t>
  </si>
  <si>
    <t>Fumigacion -  ABRIL y MAYO</t>
  </si>
  <si>
    <t>Pago ya identificado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</si>
</sst>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d/m"/>
    <numFmt numFmtId="167" formatCode="_-&quot;$&quot;\ * #,##0.00_-;\-&quot;$&quot;\ * #,##0.00_-;_-&quot;$&quot;\ * &quot;-&quot;??_-;_-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name val="Calibri"/>
      <family val="2"/>
      <scheme val="minor"/>
    </font>
    <font>
      <i/>
      <u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6">
    <xf numFmtId="0" fontId="0" fillId="0" borderId="0" xfId="0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8" fontId="0" fillId="0" borderId="0" xfId="0" applyNumberFormat="1"/>
    <xf numFmtId="165" fontId="0" fillId="0" borderId="1" xfId="1" applyNumberFormat="1" applyFont="1" applyBorder="1"/>
    <xf numFmtId="165" fontId="0" fillId="0" borderId="1" xfId="0" applyNumberFormat="1" applyBorder="1"/>
    <xf numFmtId="0" fontId="0" fillId="7" borderId="1" xfId="0" applyFill="1" applyBorder="1"/>
    <xf numFmtId="165" fontId="0" fillId="7" borderId="1" xfId="0" applyNumberFormat="1" applyFill="1" applyBorder="1"/>
    <xf numFmtId="3" fontId="0" fillId="7" borderId="1" xfId="0" applyNumberFormat="1" applyFill="1" applyBorder="1"/>
    <xf numFmtId="165" fontId="0" fillId="0" borderId="0" xfId="0" applyNumberFormat="1"/>
    <xf numFmtId="8" fontId="4" fillId="4" borderId="6" xfId="0" applyNumberFormat="1" applyFont="1" applyFill="1" applyBorder="1"/>
    <xf numFmtId="165" fontId="2" fillId="0" borderId="1" xfId="1" applyNumberFormat="1" applyFont="1" applyBorder="1"/>
    <xf numFmtId="0" fontId="0" fillId="3" borderId="14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7" fillId="2" borderId="0" xfId="0" applyFont="1" applyFill="1"/>
    <xf numFmtId="44" fontId="2" fillId="2" borderId="1" xfId="1" applyFont="1" applyFill="1" applyBorder="1"/>
    <xf numFmtId="1" fontId="0" fillId="7" borderId="1" xfId="0" applyNumberFormat="1" applyFill="1" applyBorder="1"/>
    <xf numFmtId="0" fontId="8" fillId="4" borderId="1" xfId="0" applyFont="1" applyFill="1" applyBorder="1"/>
    <xf numFmtId="0" fontId="4" fillId="4" borderId="1" xfId="0" applyFont="1" applyFill="1" applyBorder="1"/>
    <xf numFmtId="8" fontId="8" fillId="4" borderId="1" xfId="0" applyNumberFormat="1" applyFont="1" applyFill="1" applyBorder="1"/>
    <xf numFmtId="44" fontId="4" fillId="4" borderId="1" xfId="1" applyFont="1" applyFill="1" applyBorder="1"/>
    <xf numFmtId="44" fontId="0" fillId="0" borderId="1" xfId="1" applyFont="1" applyBorder="1"/>
    <xf numFmtId="44" fontId="2" fillId="0" borderId="1" xfId="1" applyFont="1" applyBorder="1"/>
    <xf numFmtId="44" fontId="4" fillId="4" borderId="6" xfId="1" applyFont="1" applyFill="1" applyBorder="1"/>
    <xf numFmtId="44" fontId="2" fillId="4" borderId="1" xfId="1" applyFont="1" applyFill="1" applyBorder="1"/>
    <xf numFmtId="44" fontId="2" fillId="4" borderId="6" xfId="1" applyFont="1" applyFill="1" applyBorder="1"/>
    <xf numFmtId="0" fontId="0" fillId="0" borderId="0" xfId="0" applyAlignment="1">
      <alignment wrapText="1"/>
    </xf>
    <xf numFmtId="165" fontId="2" fillId="2" borderId="1" xfId="1" applyNumberFormat="1" applyFont="1" applyFill="1" applyBorder="1"/>
    <xf numFmtId="0" fontId="5" fillId="2" borderId="0" xfId="0" applyFont="1" applyFill="1"/>
    <xf numFmtId="44" fontId="0" fillId="0" borderId="0" xfId="0" applyNumberFormat="1"/>
    <xf numFmtId="0" fontId="6" fillId="6" borderId="0" xfId="0" applyFont="1" applyFill="1"/>
    <xf numFmtId="44" fontId="6" fillId="6" borderId="0" xfId="1" applyFont="1" applyFill="1"/>
    <xf numFmtId="0" fontId="9" fillId="0" borderId="1" xfId="0" applyFont="1" applyBorder="1"/>
    <xf numFmtId="0" fontId="10" fillId="0" borderId="1" xfId="0" applyFont="1" applyBorder="1"/>
    <xf numFmtId="44" fontId="10" fillId="0" borderId="0" xfId="1" applyFont="1"/>
    <xf numFmtId="8" fontId="4" fillId="4" borderId="22" xfId="0" applyNumberFormat="1" applyFont="1" applyFill="1" applyBorder="1"/>
    <xf numFmtId="0" fontId="2" fillId="4" borderId="1" xfId="0" applyFont="1" applyFill="1" applyBorder="1"/>
    <xf numFmtId="0" fontId="11" fillId="3" borderId="0" xfId="0" applyFont="1" applyFill="1"/>
    <xf numFmtId="165" fontId="1" fillId="0" borderId="1" xfId="1" applyNumberFormat="1" applyFont="1" applyBorder="1"/>
    <xf numFmtId="8" fontId="2" fillId="2" borderId="1" xfId="1" applyNumberFormat="1" applyFont="1" applyFill="1" applyBorder="1"/>
    <xf numFmtId="44" fontId="4" fillId="0" borderId="1" xfId="1" applyFont="1" applyBorder="1"/>
    <xf numFmtId="165" fontId="9" fillId="0" borderId="1" xfId="0" applyNumberFormat="1" applyFont="1" applyBorder="1"/>
    <xf numFmtId="0" fontId="14" fillId="0" borderId="34" xfId="0" applyFont="1" applyBorder="1"/>
    <xf numFmtId="0" fontId="14" fillId="0" borderId="35" xfId="0" applyFont="1" applyBorder="1"/>
    <xf numFmtId="0" fontId="14" fillId="0" borderId="36" xfId="0" applyFont="1" applyBorder="1"/>
    <xf numFmtId="0" fontId="14" fillId="0" borderId="37" xfId="0" applyFont="1" applyBorder="1"/>
    <xf numFmtId="0" fontId="14" fillId="0" borderId="38" xfId="0" applyFont="1" applyBorder="1"/>
    <xf numFmtId="0" fontId="14" fillId="0" borderId="0" xfId="0" applyFont="1"/>
    <xf numFmtId="0" fontId="14" fillId="0" borderId="39" xfId="0" applyFont="1" applyBorder="1"/>
    <xf numFmtId="0" fontId="14" fillId="0" borderId="40" xfId="0" applyFont="1" applyBorder="1"/>
    <xf numFmtId="0" fontId="14" fillId="0" borderId="41" xfId="0" applyFont="1" applyBorder="1"/>
    <xf numFmtId="166" fontId="14" fillId="2" borderId="0" xfId="0" applyNumberFormat="1" applyFont="1" applyFill="1"/>
    <xf numFmtId="1" fontId="14" fillId="0" borderId="0" xfId="0" applyNumberFormat="1" applyFont="1"/>
    <xf numFmtId="0" fontId="14" fillId="0" borderId="45" xfId="0" applyFont="1" applyBorder="1"/>
    <xf numFmtId="0" fontId="14" fillId="0" borderId="46" xfId="0" applyFont="1" applyBorder="1"/>
    <xf numFmtId="0" fontId="14" fillId="0" borderId="47" xfId="0" applyFont="1" applyBorder="1"/>
    <xf numFmtId="0" fontId="14" fillId="0" borderId="49" xfId="0" applyFont="1" applyBorder="1"/>
    <xf numFmtId="0" fontId="2" fillId="3" borderId="0" xfId="0" applyFont="1" applyFill="1"/>
    <xf numFmtId="43" fontId="2" fillId="3" borderId="0" xfId="3" applyFont="1" applyFill="1"/>
    <xf numFmtId="0" fontId="4" fillId="3" borderId="14" xfId="0" applyFont="1" applyFill="1" applyBorder="1"/>
    <xf numFmtId="0" fontId="4" fillId="3" borderId="12" xfId="0" applyFont="1" applyFill="1" applyBorder="1" applyAlignment="1">
      <alignment wrapText="1"/>
    </xf>
    <xf numFmtId="0" fontId="4" fillId="3" borderId="12" xfId="0" applyFont="1" applyFill="1" applyBorder="1"/>
    <xf numFmtId="0" fontId="4" fillId="3" borderId="15" xfId="0" applyFont="1" applyFill="1" applyBorder="1"/>
    <xf numFmtId="0" fontId="4" fillId="3" borderId="16" xfId="0" applyFont="1" applyFill="1" applyBorder="1"/>
    <xf numFmtId="0" fontId="4" fillId="3" borderId="0" xfId="0" applyFont="1" applyFill="1"/>
    <xf numFmtId="0" fontId="4" fillId="3" borderId="17" xfId="0" applyFont="1" applyFill="1" applyBorder="1"/>
    <xf numFmtId="0" fontId="4" fillId="3" borderId="9" xfId="0" applyFont="1" applyFill="1" applyBorder="1"/>
    <xf numFmtId="0" fontId="4" fillId="3" borderId="10" xfId="0" applyFont="1" applyFill="1" applyBorder="1"/>
    <xf numFmtId="0" fontId="4" fillId="3" borderId="11" xfId="0" applyFont="1" applyFill="1" applyBorder="1"/>
    <xf numFmtId="0" fontId="2" fillId="0" borderId="0" xfId="0" applyFont="1"/>
    <xf numFmtId="0" fontId="4" fillId="5" borderId="14" xfId="0" applyFont="1" applyFill="1" applyBorder="1"/>
    <xf numFmtId="0" fontId="4" fillId="5" borderId="12" xfId="0" applyFont="1" applyFill="1" applyBorder="1"/>
    <xf numFmtId="10" fontId="4" fillId="5" borderId="12" xfId="0" applyNumberFormat="1" applyFont="1" applyFill="1" applyBorder="1"/>
    <xf numFmtId="0" fontId="2" fillId="5" borderId="12" xfId="0" applyFont="1" applyFill="1" applyBorder="1"/>
    <xf numFmtId="0" fontId="2" fillId="5" borderId="15" xfId="0" applyFont="1" applyFill="1" applyBorder="1"/>
    <xf numFmtId="0" fontId="17" fillId="0" borderId="1" xfId="0" applyFont="1" applyBorder="1"/>
    <xf numFmtId="0" fontId="2" fillId="0" borderId="1" xfId="0" applyFont="1" applyBorder="1"/>
    <xf numFmtId="8" fontId="2" fillId="2" borderId="1" xfId="0" applyNumberFormat="1" applyFont="1" applyFill="1" applyBorder="1"/>
    <xf numFmtId="8" fontId="2" fillId="9" borderId="1" xfId="0" applyNumberFormat="1" applyFont="1" applyFill="1" applyBorder="1"/>
    <xf numFmtId="8" fontId="2" fillId="9" borderId="6" xfId="0" applyNumberFormat="1" applyFont="1" applyFill="1" applyBorder="1"/>
    <xf numFmtId="8" fontId="2" fillId="4" borderId="6" xfId="0" applyNumberFormat="1" applyFont="1" applyFill="1" applyBorder="1"/>
    <xf numFmtId="8" fontId="4" fillId="4" borderId="21" xfId="1" applyNumberFormat="1" applyFont="1" applyFill="1" applyBorder="1"/>
    <xf numFmtId="8" fontId="2" fillId="2" borderId="22" xfId="0" applyNumberFormat="1" applyFont="1" applyFill="1" applyBorder="1"/>
    <xf numFmtId="44" fontId="8" fillId="4" borderId="3" xfId="1" applyFont="1" applyFill="1" applyBorder="1"/>
    <xf numFmtId="44" fontId="2" fillId="0" borderId="3" xfId="1" applyFont="1" applyBorder="1"/>
    <xf numFmtId="8" fontId="4" fillId="4" borderId="13" xfId="1" applyNumberFormat="1" applyFont="1" applyFill="1" applyBorder="1"/>
    <xf numFmtId="44" fontId="2" fillId="0" borderId="2" xfId="1" applyFont="1" applyBorder="1"/>
    <xf numFmtId="44" fontId="4" fillId="4" borderId="13" xfId="1" applyFont="1" applyFill="1" applyBorder="1"/>
    <xf numFmtId="44" fontId="2" fillId="4" borderId="3" xfId="1" applyFont="1" applyFill="1" applyBorder="1"/>
    <xf numFmtId="44" fontId="4" fillId="4" borderId="21" xfId="1" applyFont="1" applyFill="1" applyBorder="1"/>
    <xf numFmtId="0" fontId="2" fillId="2" borderId="1" xfId="0" applyFont="1" applyFill="1" applyBorder="1"/>
    <xf numFmtId="0" fontId="2" fillId="0" borderId="6" xfId="0" applyFont="1" applyBorder="1"/>
    <xf numFmtId="16" fontId="2" fillId="0" borderId="1" xfId="0" applyNumberFormat="1" applyFont="1" applyBorder="1"/>
    <xf numFmtId="16" fontId="2" fillId="0" borderId="6" xfId="0" applyNumberFormat="1" applyFont="1" applyBorder="1" applyAlignment="1">
      <alignment vertical="center" wrapText="1"/>
    </xf>
    <xf numFmtId="16" fontId="2" fillId="0" borderId="7" xfId="0" applyNumberFormat="1" applyFont="1" applyBorder="1" applyAlignment="1">
      <alignment vertical="center" wrapText="1"/>
    </xf>
    <xf numFmtId="44" fontId="4" fillId="4" borderId="2" xfId="1" applyFont="1" applyFill="1" applyBorder="1"/>
    <xf numFmtId="44" fontId="2" fillId="2" borderId="3" xfId="1" applyFont="1" applyFill="1" applyBorder="1"/>
    <xf numFmtId="44" fontId="2" fillId="2" borderId="2" xfId="1" applyFont="1" applyFill="1" applyBorder="1"/>
    <xf numFmtId="0" fontId="2" fillId="0" borderId="4" xfId="0" applyFont="1" applyBorder="1"/>
    <xf numFmtId="0" fontId="4" fillId="8" borderId="1" xfId="0" applyFont="1" applyFill="1" applyBorder="1"/>
    <xf numFmtId="0" fontId="4" fillId="8" borderId="6" xfId="0" applyFont="1" applyFill="1" applyBorder="1"/>
    <xf numFmtId="44" fontId="4" fillId="8" borderId="13" xfId="1" applyFont="1" applyFill="1" applyBorder="1"/>
    <xf numFmtId="0" fontId="2" fillId="0" borderId="16" xfId="0" applyFont="1" applyBorder="1"/>
    <xf numFmtId="0" fontId="2" fillId="0" borderId="17" xfId="0" applyFont="1" applyBorder="1"/>
    <xf numFmtId="0" fontId="4" fillId="5" borderId="9" xfId="0" applyFont="1" applyFill="1" applyBorder="1"/>
    <xf numFmtId="10" fontId="4" fillId="5" borderId="10" xfId="0" applyNumberFormat="1" applyFont="1" applyFill="1" applyBorder="1"/>
    <xf numFmtId="0" fontId="4" fillId="5" borderId="10" xfId="0" applyFont="1" applyFill="1" applyBorder="1"/>
    <xf numFmtId="44" fontId="4" fillId="5" borderId="11" xfId="0" applyNumberFormat="1" applyFont="1" applyFill="1" applyBorder="1"/>
    <xf numFmtId="0" fontId="2" fillId="4" borderId="23" xfId="0" applyFont="1" applyFill="1" applyBorder="1"/>
    <xf numFmtId="44" fontId="2" fillId="0" borderId="24" xfId="1" applyFont="1" applyBorder="1"/>
    <xf numFmtId="44" fontId="2" fillId="0" borderId="0" xfId="0" applyNumberFormat="1" applyFont="1"/>
    <xf numFmtId="44" fontId="4" fillId="4" borderId="25" xfId="1" applyFont="1" applyFill="1" applyBorder="1"/>
    <xf numFmtId="0" fontId="4" fillId="4" borderId="0" xfId="0" applyFont="1" applyFill="1"/>
    <xf numFmtId="44" fontId="4" fillId="4" borderId="0" xfId="1" applyFont="1" applyFill="1"/>
    <xf numFmtId="0" fontId="2" fillId="2" borderId="0" xfId="0" applyFont="1" applyFill="1"/>
    <xf numFmtId="0" fontId="4" fillId="7" borderId="9" xfId="0" applyFont="1" applyFill="1" applyBorder="1"/>
    <xf numFmtId="44" fontId="4" fillId="7" borderId="11" xfId="0" applyNumberFormat="1" applyFont="1" applyFill="1" applyBorder="1"/>
    <xf numFmtId="0" fontId="4" fillId="7" borderId="16" xfId="0" applyFont="1" applyFill="1" applyBorder="1"/>
    <xf numFmtId="44" fontId="4" fillId="7" borderId="17" xfId="0" applyNumberFormat="1" applyFont="1" applyFill="1" applyBorder="1"/>
    <xf numFmtId="0" fontId="4" fillId="7" borderId="1" xfId="0" applyFont="1" applyFill="1" applyBorder="1"/>
    <xf numFmtId="44" fontId="4" fillId="7" borderId="1" xfId="0" applyNumberFormat="1" applyFont="1" applyFill="1" applyBorder="1"/>
    <xf numFmtId="0" fontId="7" fillId="6" borderId="0" xfId="0" applyFont="1" applyFill="1"/>
    <xf numFmtId="44" fontId="7" fillId="2" borderId="1" xfId="1" applyFont="1" applyFill="1" applyBorder="1"/>
    <xf numFmtId="164" fontId="3" fillId="0" borderId="0" xfId="0" applyNumberFormat="1" applyFont="1"/>
    <xf numFmtId="4" fontId="2" fillId="0" borderId="0" xfId="0" applyNumberFormat="1" applyFont="1"/>
    <xf numFmtId="0" fontId="7" fillId="0" borderId="1" xfId="0" applyFont="1" applyBorder="1"/>
    <xf numFmtId="44" fontId="3" fillId="2" borderId="1" xfId="1" applyFont="1" applyFill="1" applyBorder="1"/>
    <xf numFmtId="0" fontId="7" fillId="0" borderId="1" xfId="0" applyFont="1" applyBorder="1" applyAlignment="1">
      <alignment wrapText="1"/>
    </xf>
    <xf numFmtId="0" fontId="3" fillId="0" borderId="0" xfId="0" applyFont="1"/>
    <xf numFmtId="0" fontId="7" fillId="0" borderId="1" xfId="0" applyFont="1" applyBorder="1" applyAlignment="1">
      <alignment vertical="center" wrapText="1"/>
    </xf>
    <xf numFmtId="0" fontId="4" fillId="0" borderId="1" xfId="0" applyFont="1" applyBorder="1"/>
    <xf numFmtId="4" fontId="7" fillId="0" borderId="0" xfId="0" applyNumberFormat="1" applyFont="1"/>
    <xf numFmtId="44" fontId="2" fillId="0" borderId="0" xfId="1" applyFont="1"/>
    <xf numFmtId="44" fontId="3" fillId="0" borderId="0" xfId="1" applyFont="1"/>
    <xf numFmtId="4" fontId="7" fillId="0" borderId="0" xfId="0" applyNumberFormat="1" applyFont="1" applyAlignment="1">
      <alignment wrapText="1"/>
    </xf>
    <xf numFmtId="44" fontId="2" fillId="0" borderId="0" xfId="0" applyNumberFormat="1" applyFont="1" applyAlignment="1">
      <alignment wrapText="1"/>
    </xf>
    <xf numFmtId="0" fontId="4" fillId="6" borderId="1" xfId="0" applyFont="1" applyFill="1" applyBorder="1"/>
    <xf numFmtId="0" fontId="2" fillId="0" borderId="0" xfId="0" applyFont="1" applyAlignment="1">
      <alignment wrapText="1"/>
    </xf>
    <xf numFmtId="164" fontId="2" fillId="0" borderId="0" xfId="0" applyNumberFormat="1" applyFont="1"/>
    <xf numFmtId="165" fontId="10" fillId="7" borderId="1" xfId="0" applyNumberFormat="1" applyFont="1" applyFill="1" applyBorder="1"/>
    <xf numFmtId="44" fontId="5" fillId="0" borderId="1" xfId="1" applyFont="1" applyBorder="1"/>
    <xf numFmtId="0" fontId="2" fillId="0" borderId="1" xfId="0" applyFont="1" applyBorder="1" applyAlignment="1">
      <alignment wrapText="1"/>
    </xf>
    <xf numFmtId="44" fontId="19" fillId="2" borderId="1" xfId="1" applyFont="1" applyFill="1" applyBorder="1" applyAlignment="1">
      <alignment wrapText="1"/>
    </xf>
    <xf numFmtId="44" fontId="19" fillId="2" borderId="1" xfId="1" applyFont="1" applyFill="1" applyBorder="1"/>
    <xf numFmtId="8" fontId="19" fillId="2" borderId="1" xfId="1" applyNumberFormat="1" applyFont="1" applyFill="1" applyBorder="1"/>
    <xf numFmtId="44" fontId="5" fillId="2" borderId="1" xfId="1" applyFont="1" applyFill="1" applyBorder="1" applyAlignment="1">
      <alignment horizontal="right"/>
    </xf>
    <xf numFmtId="0" fontId="20" fillId="0" borderId="1" xfId="0" applyFont="1" applyBorder="1" applyAlignment="1">
      <alignment vertical="center" wrapText="1"/>
    </xf>
    <xf numFmtId="0" fontId="9" fillId="2" borderId="1" xfId="0" applyFont="1" applyFill="1" applyBorder="1"/>
    <xf numFmtId="44" fontId="2" fillId="2" borderId="0" xfId="1" applyFont="1" applyFill="1" applyAlignment="1">
      <alignment horizontal="right"/>
    </xf>
    <xf numFmtId="8" fontId="3" fillId="2" borderId="1" xfId="1" applyNumberFormat="1" applyFont="1" applyFill="1" applyBorder="1"/>
    <xf numFmtId="44" fontId="5" fillId="2" borderId="1" xfId="1" applyFont="1" applyFill="1" applyBorder="1"/>
    <xf numFmtId="8" fontId="5" fillId="2" borderId="1" xfId="0" applyNumberFormat="1" applyFont="1" applyFill="1" applyBorder="1"/>
    <xf numFmtId="0" fontId="6" fillId="6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 vertical="center" wrapText="1"/>
    </xf>
    <xf numFmtId="0" fontId="4" fillId="9" borderId="0" xfId="0" quotePrefix="1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2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4" borderId="27" xfId="0" applyFont="1" applyFill="1" applyBorder="1" applyAlignment="1">
      <alignment horizontal="left"/>
    </xf>
    <xf numFmtId="0" fontId="4" fillId="4" borderId="28" xfId="0" applyFont="1" applyFill="1" applyBorder="1" applyAlignment="1">
      <alignment horizontal="left"/>
    </xf>
    <xf numFmtId="0" fontId="4" fillId="4" borderId="29" xfId="0" applyFont="1" applyFill="1" applyBorder="1" applyAlignment="1">
      <alignment horizontal="left"/>
    </xf>
    <xf numFmtId="0" fontId="4" fillId="4" borderId="30" xfId="0" applyFont="1" applyFill="1" applyBorder="1" applyAlignment="1">
      <alignment horizontal="left"/>
    </xf>
    <xf numFmtId="0" fontId="18" fillId="9" borderId="0" xfId="0" applyFont="1" applyFill="1" applyAlignment="1">
      <alignment horizontal="center" vertical="center" wrapText="1"/>
    </xf>
    <xf numFmtId="44" fontId="0" fillId="3" borderId="8" xfId="1" applyFont="1" applyFill="1" applyBorder="1" applyAlignment="1">
      <alignment horizontal="center" vertical="center"/>
    </xf>
    <xf numFmtId="44" fontId="0" fillId="3" borderId="0" xfId="1" applyFont="1" applyFill="1" applyAlignment="1">
      <alignment horizontal="right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/>
    </xf>
    <xf numFmtId="0" fontId="13" fillId="0" borderId="37" xfId="0" applyFont="1" applyBorder="1"/>
    <xf numFmtId="0" fontId="14" fillId="0" borderId="36" xfId="0" applyFont="1" applyBorder="1"/>
    <xf numFmtId="0" fontId="14" fillId="0" borderId="47" xfId="0" applyFont="1" applyBorder="1"/>
    <xf numFmtId="0" fontId="13" fillId="0" borderId="48" xfId="0" applyFont="1" applyBorder="1"/>
    <xf numFmtId="167" fontId="14" fillId="11" borderId="31" xfId="0" applyNumberFormat="1" applyFont="1" applyFill="1" applyBorder="1" applyAlignment="1">
      <alignment horizontal="center"/>
    </xf>
    <xf numFmtId="0" fontId="13" fillId="0" borderId="33" xfId="0" applyFont="1" applyBorder="1"/>
    <xf numFmtId="0" fontId="12" fillId="10" borderId="31" xfId="0" applyFont="1" applyFill="1" applyBorder="1" applyAlignment="1">
      <alignment horizontal="center"/>
    </xf>
    <xf numFmtId="0" fontId="13" fillId="0" borderId="32" xfId="0" applyFont="1" applyBorder="1"/>
    <xf numFmtId="0" fontId="15" fillId="0" borderId="31" xfId="0" applyFont="1" applyBorder="1" applyAlignment="1">
      <alignment horizontal="center"/>
    </xf>
    <xf numFmtId="0" fontId="14" fillId="11" borderId="42" xfId="0" applyFont="1" applyFill="1" applyBorder="1" applyAlignment="1">
      <alignment horizontal="center"/>
    </xf>
    <xf numFmtId="0" fontId="13" fillId="0" borderId="43" xfId="0" applyFont="1" applyBorder="1"/>
    <xf numFmtId="0" fontId="13" fillId="0" borderId="44" xfId="0" applyFont="1" applyBorder="1"/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76200</xdr:rowOff>
    </xdr:from>
    <xdr:to>
      <xdr:col>0</xdr:col>
      <xdr:colOff>2190750</xdr:colOff>
      <xdr:row>3</xdr:row>
      <xdr:rowOff>142875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6200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0"/>
  <sheetViews>
    <sheetView tabSelected="1" workbookViewId="0">
      <selection activeCell="A19" sqref="A19"/>
    </sheetView>
  </sheetViews>
  <sheetFormatPr baseColWidth="10" defaultRowHeight="14.4" x14ac:dyDescent="0.3"/>
  <cols>
    <col min="1" max="1" width="33.44140625" customWidth="1"/>
    <col min="2" max="2" width="36.88671875" customWidth="1"/>
    <col min="3" max="3" width="17.44140625" customWidth="1"/>
    <col min="4" max="4" width="21.6640625" customWidth="1"/>
    <col min="5" max="5" width="15.6640625" customWidth="1"/>
    <col min="6" max="7" width="13" bestFit="1" customWidth="1"/>
    <col min="11" max="11" width="18" customWidth="1"/>
    <col min="12" max="12" width="18.33203125" customWidth="1"/>
  </cols>
  <sheetData>
    <row r="1" spans="1:5" ht="15" thickBot="1" x14ac:dyDescent="0.35">
      <c r="A1" s="59"/>
      <c r="B1" s="60" t="s">
        <v>154</v>
      </c>
      <c r="C1" s="59"/>
      <c r="D1" s="59"/>
      <c r="E1" s="59"/>
    </row>
    <row r="2" spans="1:5" ht="28.8" x14ac:dyDescent="0.3">
      <c r="A2" s="61"/>
      <c r="B2" s="62" t="s">
        <v>149</v>
      </c>
      <c r="C2" s="63"/>
      <c r="D2" s="63"/>
      <c r="E2" s="64"/>
    </row>
    <row r="3" spans="1:5" x14ac:dyDescent="0.3">
      <c r="A3" s="65"/>
      <c r="B3" s="66" t="s">
        <v>48</v>
      </c>
      <c r="C3" s="66"/>
      <c r="D3" s="66"/>
      <c r="E3" s="67"/>
    </row>
    <row r="4" spans="1:5" ht="15" customHeight="1" x14ac:dyDescent="0.3">
      <c r="A4" s="65"/>
      <c r="B4" s="66" t="s">
        <v>178</v>
      </c>
      <c r="C4" s="66" t="s">
        <v>177</v>
      </c>
      <c r="D4" s="66"/>
      <c r="E4" s="67"/>
    </row>
    <row r="5" spans="1:5" ht="15" customHeight="1" thickBot="1" x14ac:dyDescent="0.35">
      <c r="A5" s="65"/>
      <c r="B5" s="66" t="s">
        <v>179</v>
      </c>
      <c r="C5" s="66"/>
      <c r="D5" s="66"/>
      <c r="E5" s="67"/>
    </row>
    <row r="6" spans="1:5" ht="15" thickBot="1" x14ac:dyDescent="0.35">
      <c r="A6" s="68" t="s">
        <v>0</v>
      </c>
      <c r="B6" s="69" t="s">
        <v>199</v>
      </c>
      <c r="C6" s="69"/>
      <c r="D6" s="69" t="s">
        <v>145</v>
      </c>
      <c r="E6" s="70"/>
    </row>
    <row r="7" spans="1:5" ht="15" thickBot="1" x14ac:dyDescent="0.35">
      <c r="A7" s="65"/>
      <c r="B7" s="66"/>
      <c r="C7" s="66"/>
      <c r="D7" s="66"/>
      <c r="E7" s="67"/>
    </row>
    <row r="8" spans="1:5" ht="15" thickBot="1" x14ac:dyDescent="0.35">
      <c r="A8" s="68" t="s">
        <v>47</v>
      </c>
      <c r="B8" s="69"/>
      <c r="C8" s="69"/>
      <c r="D8" s="69"/>
      <c r="E8" s="70"/>
    </row>
    <row r="9" spans="1:5" x14ac:dyDescent="0.3">
      <c r="A9" s="71"/>
      <c r="B9" s="71"/>
      <c r="C9" s="71"/>
      <c r="D9" s="71"/>
      <c r="E9" s="71"/>
    </row>
    <row r="10" spans="1:5" hidden="1" x14ac:dyDescent="0.3">
      <c r="A10" s="71"/>
      <c r="B10" s="71"/>
      <c r="C10" s="71"/>
      <c r="D10" s="71"/>
      <c r="E10" s="71"/>
    </row>
    <row r="11" spans="1:5" hidden="1" x14ac:dyDescent="0.3">
      <c r="A11" s="71"/>
      <c r="B11" s="71"/>
      <c r="C11" s="71"/>
      <c r="D11" s="71"/>
      <c r="E11" s="71"/>
    </row>
    <row r="12" spans="1:5" hidden="1" x14ac:dyDescent="0.3">
      <c r="A12" s="71"/>
      <c r="B12" s="71"/>
      <c r="C12" s="71"/>
      <c r="D12" s="71"/>
      <c r="E12" s="71"/>
    </row>
    <row r="13" spans="1:5" hidden="1" x14ac:dyDescent="0.3">
      <c r="A13" s="71"/>
      <c r="B13" s="71"/>
      <c r="C13" s="71"/>
      <c r="D13" s="71"/>
      <c r="E13" s="71"/>
    </row>
    <row r="14" spans="1:5" x14ac:dyDescent="0.3">
      <c r="A14" s="71"/>
      <c r="B14" s="71"/>
      <c r="C14" s="71"/>
      <c r="D14" s="71"/>
      <c r="E14" s="71"/>
    </row>
    <row r="15" spans="1:5" ht="15" customHeight="1" x14ac:dyDescent="0.3">
      <c r="A15" s="155" t="s">
        <v>198</v>
      </c>
      <c r="B15" s="155"/>
      <c r="C15" s="155"/>
      <c r="D15" s="155"/>
      <c r="E15" s="155"/>
    </row>
    <row r="16" spans="1:5" ht="15" customHeight="1" x14ac:dyDescent="0.3">
      <c r="A16" s="155"/>
      <c r="B16" s="155"/>
      <c r="C16" s="155"/>
      <c r="D16" s="155"/>
      <c r="E16" s="155"/>
    </row>
    <row r="17" spans="1:5" ht="15" customHeight="1" x14ac:dyDescent="0.3">
      <c r="A17" s="155"/>
      <c r="B17" s="155"/>
      <c r="C17" s="155"/>
      <c r="D17" s="155"/>
      <c r="E17" s="155"/>
    </row>
    <row r="18" spans="1:5" ht="15" customHeight="1" x14ac:dyDescent="0.3">
      <c r="A18" s="155"/>
      <c r="B18" s="155"/>
      <c r="C18" s="155"/>
      <c r="D18" s="155"/>
      <c r="E18" s="155"/>
    </row>
    <row r="19" spans="1:5" ht="14.25" customHeight="1" x14ac:dyDescent="0.3">
      <c r="A19" s="71"/>
      <c r="B19" s="71"/>
      <c r="C19" s="71"/>
      <c r="D19" s="71"/>
      <c r="E19" s="71"/>
    </row>
    <row r="20" spans="1:5" hidden="1" x14ac:dyDescent="0.3">
      <c r="A20" s="71"/>
      <c r="B20" s="71"/>
      <c r="C20" s="71"/>
      <c r="D20" s="71"/>
      <c r="E20" s="71"/>
    </row>
    <row r="21" spans="1:5" ht="12" customHeight="1" x14ac:dyDescent="0.3">
      <c r="A21" s="71"/>
      <c r="B21" s="71"/>
      <c r="C21" s="71"/>
      <c r="D21" s="71"/>
      <c r="E21" s="71"/>
    </row>
    <row r="22" spans="1:5" ht="0.75" hidden="1" customHeight="1" x14ac:dyDescent="0.3">
      <c r="A22" s="156"/>
      <c r="B22" s="157"/>
      <c r="C22" s="157"/>
      <c r="D22" s="157"/>
      <c r="E22" s="157"/>
    </row>
    <row r="23" spans="1:5" hidden="1" x14ac:dyDescent="0.3">
      <c r="A23" s="157"/>
      <c r="B23" s="157"/>
      <c r="C23" s="157"/>
      <c r="D23" s="157"/>
      <c r="E23" s="157"/>
    </row>
    <row r="24" spans="1:5" hidden="1" x14ac:dyDescent="0.3">
      <c r="A24" s="157"/>
      <c r="B24" s="157"/>
      <c r="C24" s="157"/>
      <c r="D24" s="157"/>
      <c r="E24" s="157"/>
    </row>
    <row r="25" spans="1:5" hidden="1" x14ac:dyDescent="0.3">
      <c r="A25" s="157"/>
      <c r="B25" s="157"/>
      <c r="C25" s="157"/>
      <c r="D25" s="157"/>
      <c r="E25" s="157"/>
    </row>
    <row r="26" spans="1:5" hidden="1" x14ac:dyDescent="0.3">
      <c r="A26" s="157"/>
      <c r="B26" s="157"/>
      <c r="C26" s="157"/>
      <c r="D26" s="157"/>
      <c r="E26" s="157"/>
    </row>
    <row r="27" spans="1:5" ht="15" thickBot="1" x14ac:dyDescent="0.35">
      <c r="A27" s="71"/>
      <c r="B27" s="71"/>
      <c r="C27" s="71"/>
      <c r="D27" s="71"/>
      <c r="E27" s="71"/>
    </row>
    <row r="28" spans="1:5" x14ac:dyDescent="0.3">
      <c r="A28" s="72" t="s">
        <v>34</v>
      </c>
      <c r="B28" s="73"/>
      <c r="C28" s="74"/>
      <c r="D28" s="75"/>
      <c r="E28" s="76"/>
    </row>
    <row r="29" spans="1:5" x14ac:dyDescent="0.3">
      <c r="A29" s="19" t="s">
        <v>118</v>
      </c>
      <c r="B29" s="19"/>
      <c r="C29" s="19"/>
      <c r="D29" s="19"/>
      <c r="E29" s="19"/>
    </row>
    <row r="30" spans="1:5" x14ac:dyDescent="0.3">
      <c r="A30" s="77" t="s">
        <v>112</v>
      </c>
      <c r="B30" s="78" t="s">
        <v>127</v>
      </c>
      <c r="C30" s="78" t="s">
        <v>205</v>
      </c>
      <c r="D30" s="79">
        <v>1664921.03</v>
      </c>
      <c r="E30" s="78"/>
    </row>
    <row r="31" spans="1:5" x14ac:dyDescent="0.3">
      <c r="A31" s="77"/>
      <c r="B31" s="78" t="s">
        <v>113</v>
      </c>
      <c r="C31" s="78"/>
      <c r="D31" s="79">
        <v>-362120.32</v>
      </c>
      <c r="E31" s="78"/>
    </row>
    <row r="32" spans="1:5" x14ac:dyDescent="0.3">
      <c r="A32" s="77"/>
      <c r="B32" s="78" t="s">
        <v>146</v>
      </c>
      <c r="C32" s="78"/>
      <c r="D32" s="79">
        <v>0.28999999999999998</v>
      </c>
      <c r="E32" s="78"/>
    </row>
    <row r="33" spans="1:7" hidden="1" x14ac:dyDescent="0.3">
      <c r="A33" s="77"/>
      <c r="B33" s="78"/>
      <c r="C33" s="78"/>
      <c r="D33" s="80"/>
      <c r="E33" s="78"/>
    </row>
    <row r="34" spans="1:7" hidden="1" x14ac:dyDescent="0.3">
      <c r="A34" s="78"/>
      <c r="B34" s="78"/>
      <c r="C34" s="78"/>
      <c r="D34" s="80"/>
      <c r="E34" s="78"/>
    </row>
    <row r="35" spans="1:7" hidden="1" x14ac:dyDescent="0.3">
      <c r="A35" s="78"/>
      <c r="B35" s="78"/>
      <c r="C35" s="78"/>
      <c r="D35" s="81"/>
      <c r="E35" s="78"/>
    </row>
    <row r="36" spans="1:7" hidden="1" x14ac:dyDescent="0.3">
      <c r="A36" s="78"/>
      <c r="B36" s="78"/>
      <c r="C36" s="78"/>
      <c r="D36" s="81"/>
      <c r="E36" s="78"/>
    </row>
    <row r="37" spans="1:7" ht="15" thickBot="1" x14ac:dyDescent="0.35">
      <c r="A37" s="20" t="s">
        <v>1</v>
      </c>
      <c r="B37" s="38"/>
      <c r="C37" s="38"/>
      <c r="D37" s="82"/>
      <c r="E37" s="83">
        <f>SUM(D27:D34)</f>
        <v>1302801</v>
      </c>
    </row>
    <row r="38" spans="1:7" hidden="1" x14ac:dyDescent="0.3">
      <c r="A38" s="78" t="s">
        <v>157</v>
      </c>
      <c r="B38" s="78"/>
      <c r="C38" s="78"/>
      <c r="D38" s="79"/>
      <c r="E38" s="78"/>
      <c r="G38">
        <v>235611</v>
      </c>
    </row>
    <row r="39" spans="1:7" hidden="1" x14ac:dyDescent="0.3">
      <c r="A39" s="78" t="s">
        <v>156</v>
      </c>
      <c r="B39" s="78"/>
      <c r="C39" s="78"/>
      <c r="D39" s="79"/>
      <c r="E39" s="78"/>
      <c r="G39" s="5">
        <f>E37+E41-G38</f>
        <v>1067190</v>
      </c>
    </row>
    <row r="40" spans="1:7" hidden="1" x14ac:dyDescent="0.3">
      <c r="A40" s="78" t="s">
        <v>146</v>
      </c>
      <c r="B40" s="78"/>
      <c r="C40" s="78"/>
      <c r="D40" s="84"/>
      <c r="E40" s="78"/>
    </row>
    <row r="41" spans="1:7" ht="15" hidden="1" thickBot="1" x14ac:dyDescent="0.35">
      <c r="A41" s="20" t="s">
        <v>155</v>
      </c>
      <c r="B41" s="20"/>
      <c r="C41" s="20"/>
      <c r="D41" s="37"/>
      <c r="E41" s="83">
        <f>SUM(D38:D40)</f>
        <v>0</v>
      </c>
      <c r="F41" s="5"/>
    </row>
    <row r="42" spans="1:7" x14ac:dyDescent="0.3">
      <c r="A42" s="19" t="s">
        <v>141</v>
      </c>
      <c r="B42" s="19"/>
      <c r="C42" s="19"/>
      <c r="D42" s="21"/>
      <c r="E42" s="85"/>
    </row>
    <row r="43" spans="1:7" x14ac:dyDescent="0.3">
      <c r="A43" s="78" t="s">
        <v>142</v>
      </c>
      <c r="B43" s="78" t="s">
        <v>200</v>
      </c>
      <c r="C43" s="78"/>
      <c r="D43" s="153">
        <v>28000</v>
      </c>
      <c r="E43" s="86"/>
    </row>
    <row r="44" spans="1:7" x14ac:dyDescent="0.3">
      <c r="A44" s="78" t="s">
        <v>143</v>
      </c>
      <c r="B44" s="78" t="s">
        <v>200</v>
      </c>
      <c r="C44" s="78"/>
      <c r="D44" s="153">
        <v>112000</v>
      </c>
      <c r="E44" s="86"/>
      <c r="G44" t="s">
        <v>190</v>
      </c>
    </row>
    <row r="45" spans="1:7" ht="15" thickBot="1" x14ac:dyDescent="0.35">
      <c r="A45" s="78"/>
      <c r="B45" s="78"/>
      <c r="C45" s="78"/>
      <c r="D45" s="17"/>
      <c r="E45" s="86"/>
    </row>
    <row r="46" spans="1:7" ht="15" thickBot="1" x14ac:dyDescent="0.35">
      <c r="A46" s="20" t="s">
        <v>114</v>
      </c>
      <c r="B46" s="20"/>
      <c r="C46" s="20"/>
      <c r="D46" s="25"/>
      <c r="E46" s="87">
        <f>SUM(D43:D44)</f>
        <v>140000</v>
      </c>
    </row>
    <row r="47" spans="1:7" x14ac:dyDescent="0.3">
      <c r="A47" s="19" t="s">
        <v>2</v>
      </c>
      <c r="B47" s="20"/>
      <c r="C47" s="20"/>
      <c r="D47" s="22"/>
      <c r="E47" s="22"/>
    </row>
    <row r="48" spans="1:7" x14ac:dyDescent="0.3">
      <c r="A48" s="77" t="s">
        <v>128</v>
      </c>
      <c r="B48" s="78"/>
      <c r="C48" s="78" t="s">
        <v>186</v>
      </c>
      <c r="D48" s="17">
        <v>25842</v>
      </c>
      <c r="E48" s="24"/>
    </row>
    <row r="49" spans="1:5" ht="15" thickBot="1" x14ac:dyDescent="0.35">
      <c r="A49" s="77"/>
      <c r="B49" s="78"/>
      <c r="C49" s="78"/>
      <c r="D49" s="17"/>
      <c r="E49" s="88"/>
    </row>
    <row r="50" spans="1:5" ht="15" thickBot="1" x14ac:dyDescent="0.35">
      <c r="A50" s="20" t="s">
        <v>3</v>
      </c>
      <c r="B50" s="20"/>
      <c r="C50" s="20"/>
      <c r="D50" s="25"/>
      <c r="E50" s="89">
        <f>SUM(D48)</f>
        <v>25842</v>
      </c>
    </row>
    <row r="51" spans="1:5" x14ac:dyDescent="0.3">
      <c r="A51" s="19" t="s">
        <v>115</v>
      </c>
      <c r="B51" s="38"/>
      <c r="C51" s="38"/>
      <c r="D51" s="26"/>
      <c r="E51" s="90"/>
    </row>
    <row r="52" spans="1:5" x14ac:dyDescent="0.3">
      <c r="A52" s="78" t="s">
        <v>206</v>
      </c>
      <c r="B52" s="78"/>
      <c r="C52" s="78"/>
      <c r="D52" s="17">
        <v>726324.3</v>
      </c>
      <c r="E52" s="24"/>
    </row>
    <row r="53" spans="1:5" x14ac:dyDescent="0.3">
      <c r="A53" s="78" t="s">
        <v>201</v>
      </c>
      <c r="B53" s="78" t="s">
        <v>131</v>
      </c>
      <c r="C53" s="78" t="s">
        <v>187</v>
      </c>
      <c r="D53" s="142">
        <v>74921.45</v>
      </c>
      <c r="E53" s="24"/>
    </row>
    <row r="54" spans="1:5" x14ac:dyDescent="0.3">
      <c r="A54" s="78" t="str">
        <f>A53</f>
        <v>Sindicatos periodo MAYO</v>
      </c>
      <c r="B54" s="78" t="s">
        <v>129</v>
      </c>
      <c r="C54" s="78" t="str">
        <f>C53</f>
        <v>Debito 14/04</v>
      </c>
      <c r="D54" s="152">
        <v>132219.87</v>
      </c>
      <c r="E54" s="24"/>
    </row>
    <row r="55" spans="1:5" x14ac:dyDescent="0.3">
      <c r="A55" s="78" t="str">
        <f>A54</f>
        <v>Sindicatos periodo MAYO</v>
      </c>
      <c r="B55" s="78" t="s">
        <v>130</v>
      </c>
      <c r="C55" s="78" t="str">
        <f>C54</f>
        <v>Debito 14/04</v>
      </c>
      <c r="D55" s="152">
        <v>8324.7099999999991</v>
      </c>
      <c r="E55" s="88"/>
    </row>
    <row r="56" spans="1:5" x14ac:dyDescent="0.3">
      <c r="A56" s="78"/>
      <c r="B56" s="78"/>
      <c r="C56" s="78"/>
      <c r="D56" s="17"/>
      <c r="E56" s="24"/>
    </row>
    <row r="57" spans="1:5" ht="15" customHeight="1" thickBot="1" x14ac:dyDescent="0.35">
      <c r="A57" s="20" t="s">
        <v>4</v>
      </c>
      <c r="B57" s="38"/>
      <c r="C57" s="38"/>
      <c r="D57" s="27"/>
      <c r="E57" s="91">
        <f>SUM(D52:D56)</f>
        <v>941790.33</v>
      </c>
    </row>
    <row r="58" spans="1:5" x14ac:dyDescent="0.3">
      <c r="A58" s="19" t="s">
        <v>117</v>
      </c>
      <c r="B58" s="38"/>
      <c r="C58" s="38"/>
      <c r="D58" s="26"/>
      <c r="E58" s="90"/>
    </row>
    <row r="59" spans="1:5" ht="14.25" customHeight="1" x14ac:dyDescent="0.3">
      <c r="A59" s="78" t="s">
        <v>202</v>
      </c>
      <c r="B59" s="92"/>
      <c r="C59" s="78"/>
      <c r="D59" s="17">
        <v>472992.23</v>
      </c>
      <c r="E59" s="24"/>
    </row>
    <row r="60" spans="1:5" ht="14.25" customHeight="1" x14ac:dyDescent="0.3">
      <c r="A60" s="78" t="s">
        <v>188</v>
      </c>
      <c r="B60" s="92"/>
      <c r="C60" s="78"/>
      <c r="D60" s="17">
        <v>524627.71</v>
      </c>
      <c r="E60" s="24"/>
    </row>
    <row r="61" spans="1:5" x14ac:dyDescent="0.3">
      <c r="A61" s="92" t="s">
        <v>180</v>
      </c>
      <c r="B61" s="92" t="s">
        <v>203</v>
      </c>
      <c r="C61" s="78"/>
      <c r="D61" s="152">
        <v>53800</v>
      </c>
      <c r="E61" s="17"/>
    </row>
    <row r="62" spans="1:5" ht="14.25" customHeight="1" x14ac:dyDescent="0.3">
      <c r="A62" s="78" t="s">
        <v>125</v>
      </c>
      <c r="B62" s="93"/>
      <c r="C62" s="94"/>
      <c r="D62" s="17">
        <v>0</v>
      </c>
      <c r="E62" s="24"/>
    </row>
    <row r="63" spans="1:5" x14ac:dyDescent="0.3">
      <c r="A63" s="78" t="s">
        <v>207</v>
      </c>
      <c r="B63" s="78"/>
      <c r="C63" s="94"/>
      <c r="D63" s="17">
        <v>85000</v>
      </c>
      <c r="E63" s="24"/>
    </row>
    <row r="64" spans="1:5" x14ac:dyDescent="0.3">
      <c r="A64" s="78" t="s">
        <v>151</v>
      </c>
      <c r="B64" s="78"/>
      <c r="C64" s="78"/>
      <c r="D64" s="17">
        <v>21078.1</v>
      </c>
      <c r="E64" s="24"/>
    </row>
    <row r="65" spans="1:5" x14ac:dyDescent="0.3">
      <c r="A65" s="78" t="s">
        <v>119</v>
      </c>
      <c r="B65" s="78"/>
      <c r="C65" s="78"/>
      <c r="D65" s="152">
        <v>7530</v>
      </c>
      <c r="E65" s="24"/>
    </row>
    <row r="66" spans="1:5" x14ac:dyDescent="0.3">
      <c r="A66" s="78" t="s">
        <v>126</v>
      </c>
      <c r="B66" s="78"/>
      <c r="C66" s="78"/>
      <c r="D66" s="150">
        <v>146134.44</v>
      </c>
      <c r="E66" s="147"/>
    </row>
    <row r="67" spans="1:5" x14ac:dyDescent="0.3">
      <c r="A67" s="78" t="s">
        <v>204</v>
      </c>
      <c r="B67" s="78"/>
      <c r="C67" s="78"/>
      <c r="D67" s="152">
        <v>13653.85</v>
      </c>
      <c r="E67" s="24"/>
    </row>
    <row r="68" spans="1:5" ht="15" thickBot="1" x14ac:dyDescent="0.35">
      <c r="A68" s="78"/>
      <c r="B68" s="95"/>
      <c r="C68" s="96"/>
      <c r="D68" s="17"/>
      <c r="E68" s="88"/>
    </row>
    <row r="69" spans="1:5" ht="15" thickBot="1" x14ac:dyDescent="0.35">
      <c r="A69" s="20" t="s">
        <v>5</v>
      </c>
      <c r="B69" s="20"/>
      <c r="C69" s="20"/>
      <c r="D69" s="25"/>
      <c r="E69" s="89">
        <f>SUM(D59:D68)</f>
        <v>1324816.33</v>
      </c>
    </row>
    <row r="70" spans="1:5" ht="15" thickBot="1" x14ac:dyDescent="0.35">
      <c r="A70" s="19" t="s">
        <v>116</v>
      </c>
      <c r="B70" s="20"/>
      <c r="C70" s="20"/>
      <c r="D70" s="25"/>
      <c r="E70" s="89"/>
    </row>
    <row r="71" spans="1:5" x14ac:dyDescent="0.3">
      <c r="A71" s="78" t="s">
        <v>162</v>
      </c>
      <c r="B71" s="78"/>
      <c r="C71" s="78"/>
      <c r="D71" s="17">
        <v>44595</v>
      </c>
      <c r="E71" s="86"/>
    </row>
    <row r="72" spans="1:5" x14ac:dyDescent="0.3">
      <c r="A72" s="78" t="s">
        <v>181</v>
      </c>
      <c r="B72" s="78"/>
      <c r="C72" s="78"/>
      <c r="D72" s="17">
        <v>52084.53</v>
      </c>
      <c r="E72" s="24"/>
    </row>
    <row r="73" spans="1:5" x14ac:dyDescent="0.3">
      <c r="A73" s="78" t="s">
        <v>197</v>
      </c>
      <c r="B73" s="78"/>
      <c r="C73" s="78"/>
      <c r="D73" s="152">
        <v>45800</v>
      </c>
      <c r="E73" s="24"/>
    </row>
    <row r="74" spans="1:5" x14ac:dyDescent="0.3">
      <c r="A74" s="78" t="s">
        <v>150</v>
      </c>
      <c r="B74" s="78"/>
      <c r="C74" s="78"/>
      <c r="D74" s="24">
        <v>2300</v>
      </c>
      <c r="E74" s="24"/>
    </row>
    <row r="75" spans="1:5" x14ac:dyDescent="0.3">
      <c r="A75" s="78" t="s">
        <v>191</v>
      </c>
      <c r="B75" s="78"/>
      <c r="C75" s="78"/>
      <c r="D75" s="24">
        <v>98800</v>
      </c>
      <c r="E75" s="17"/>
    </row>
    <row r="76" spans="1:5" ht="15" thickBot="1" x14ac:dyDescent="0.35">
      <c r="A76" s="20" t="s">
        <v>16</v>
      </c>
      <c r="B76" s="19"/>
      <c r="C76" s="19"/>
      <c r="D76" s="19"/>
      <c r="E76" s="97">
        <f>SUM(D71:D75)</f>
        <v>243579.53</v>
      </c>
    </row>
    <row r="77" spans="1:5" ht="15" thickBot="1" x14ac:dyDescent="0.35">
      <c r="A77" s="19" t="s">
        <v>38</v>
      </c>
      <c r="B77" s="20"/>
      <c r="C77" s="20"/>
      <c r="D77" s="12"/>
      <c r="E77" s="89"/>
    </row>
    <row r="78" spans="1:5" x14ac:dyDescent="0.3">
      <c r="A78" s="78" t="s">
        <v>38</v>
      </c>
      <c r="B78" s="78"/>
      <c r="C78" s="78"/>
      <c r="D78" s="17">
        <f>90714.05</f>
        <v>90714.05</v>
      </c>
      <c r="E78" s="98"/>
    </row>
    <row r="79" spans="1:5" ht="15" thickBot="1" x14ac:dyDescent="0.35">
      <c r="A79" s="77"/>
      <c r="B79" s="78"/>
      <c r="C79" s="78"/>
      <c r="D79" s="17"/>
      <c r="E79" s="99"/>
    </row>
    <row r="80" spans="1:5" ht="15" thickBot="1" x14ac:dyDescent="0.35">
      <c r="A80" s="20" t="s">
        <v>114</v>
      </c>
      <c r="B80" s="20"/>
      <c r="C80" s="20"/>
      <c r="D80" s="12"/>
      <c r="E80" s="89">
        <f>SUM(D78:D79)</f>
        <v>90714.05</v>
      </c>
    </row>
    <row r="81" spans="1:7" ht="15" thickBot="1" x14ac:dyDescent="0.35">
      <c r="A81" s="78"/>
      <c r="B81" s="78"/>
      <c r="C81" s="78"/>
      <c r="D81" s="78"/>
      <c r="E81" s="100"/>
    </row>
    <row r="82" spans="1:7" ht="15" thickBot="1" x14ac:dyDescent="0.35">
      <c r="A82" s="101" t="s">
        <v>185</v>
      </c>
      <c r="B82" s="101"/>
      <c r="C82" s="101"/>
      <c r="D82" s="102"/>
      <c r="E82" s="103">
        <v>266278.07</v>
      </c>
    </row>
    <row r="83" spans="1:7" ht="15" thickBot="1" x14ac:dyDescent="0.35">
      <c r="A83" s="104"/>
      <c r="B83" s="71"/>
      <c r="C83" s="71"/>
      <c r="D83" s="71"/>
      <c r="E83" s="105"/>
      <c r="F83" s="31"/>
    </row>
    <row r="84" spans="1:7" ht="15" thickBot="1" x14ac:dyDescent="0.35">
      <c r="A84" s="106" t="s">
        <v>39</v>
      </c>
      <c r="B84" s="107"/>
      <c r="C84" s="108"/>
      <c r="D84" s="108"/>
      <c r="E84" s="109">
        <f>(SUM(E30:E82))</f>
        <v>4335821.3099999996</v>
      </c>
      <c r="F84" s="31"/>
      <c r="G84" s="31"/>
    </row>
    <row r="85" spans="1:7" x14ac:dyDescent="0.3">
      <c r="A85" s="71"/>
      <c r="B85" s="71"/>
      <c r="C85" s="71"/>
      <c r="D85" s="71"/>
      <c r="E85" s="71"/>
    </row>
    <row r="86" spans="1:7" ht="15" thickBot="1" x14ac:dyDescent="0.35">
      <c r="A86" s="71"/>
      <c r="B86" s="71"/>
      <c r="C86" s="71"/>
      <c r="D86" s="71"/>
      <c r="E86" s="71"/>
      <c r="F86" s="31"/>
    </row>
    <row r="87" spans="1:7" x14ac:dyDescent="0.3">
      <c r="A87" s="166" t="s">
        <v>158</v>
      </c>
      <c r="B87" s="167"/>
      <c r="C87" s="110"/>
      <c r="D87" s="71"/>
      <c r="E87" s="71"/>
    </row>
    <row r="88" spans="1:7" ht="15" customHeight="1" x14ac:dyDescent="0.3">
      <c r="A88" s="158" t="s">
        <v>189</v>
      </c>
      <c r="B88" s="159"/>
      <c r="C88" s="17">
        <v>35125.78</v>
      </c>
      <c r="D88" s="71"/>
      <c r="E88" s="71"/>
    </row>
    <row r="89" spans="1:7" x14ac:dyDescent="0.3">
      <c r="A89" s="160"/>
      <c r="B89" s="161"/>
      <c r="C89" s="17"/>
      <c r="D89" s="71"/>
      <c r="E89" s="71"/>
    </row>
    <row r="90" spans="1:7" x14ac:dyDescent="0.3">
      <c r="A90" s="162"/>
      <c r="B90" s="163"/>
      <c r="C90" s="111"/>
      <c r="D90" s="71"/>
      <c r="E90" s="112"/>
    </row>
    <row r="91" spans="1:7" ht="15" thickBot="1" x14ac:dyDescent="0.35">
      <c r="A91" s="164" t="s">
        <v>16</v>
      </c>
      <c r="B91" s="165"/>
      <c r="C91" s="113">
        <f>SUM(C88:C90)</f>
        <v>35125.78</v>
      </c>
      <c r="D91" s="71"/>
      <c r="E91" s="71"/>
    </row>
    <row r="92" spans="1:7" x14ac:dyDescent="0.3">
      <c r="A92" s="71"/>
      <c r="B92" s="71"/>
      <c r="C92" s="71"/>
      <c r="D92" s="71"/>
      <c r="E92" s="71"/>
    </row>
    <row r="93" spans="1:7" x14ac:dyDescent="0.3">
      <c r="A93" s="114" t="s">
        <v>163</v>
      </c>
      <c r="B93" s="114"/>
      <c r="C93" s="115"/>
      <c r="D93" s="116"/>
      <c r="E93" s="71"/>
    </row>
    <row r="94" spans="1:7" ht="15" thickBot="1" x14ac:dyDescent="0.35">
      <c r="A94" s="71"/>
      <c r="B94" s="71"/>
      <c r="C94" s="71"/>
      <c r="D94" s="71"/>
      <c r="E94" s="71"/>
    </row>
    <row r="95" spans="1:7" ht="15" thickBot="1" x14ac:dyDescent="0.35">
      <c r="A95" s="117" t="s">
        <v>40</v>
      </c>
      <c r="B95" s="118">
        <f>E84</f>
        <v>4335821.3099999996</v>
      </c>
      <c r="C95" s="71"/>
      <c r="D95" s="71"/>
      <c r="E95" s="112"/>
    </row>
    <row r="96" spans="1:7" x14ac:dyDescent="0.3">
      <c r="A96" s="119" t="s">
        <v>41</v>
      </c>
      <c r="B96" s="120">
        <f>E84-E82</f>
        <v>4069543.2399999998</v>
      </c>
      <c r="C96" s="71"/>
      <c r="D96" s="71"/>
      <c r="E96" s="71"/>
    </row>
    <row r="97" spans="1:5" x14ac:dyDescent="0.3">
      <c r="A97" s="121" t="s">
        <v>160</v>
      </c>
      <c r="B97" s="122">
        <f>C91+C93</f>
        <v>35125.78</v>
      </c>
      <c r="C97" s="71"/>
      <c r="D97" s="71"/>
      <c r="E97" s="71"/>
    </row>
    <row r="98" spans="1:5" x14ac:dyDescent="0.3">
      <c r="A98" s="121" t="s">
        <v>159</v>
      </c>
      <c r="B98" s="122">
        <f>C91</f>
        <v>35125.78</v>
      </c>
      <c r="C98" s="71"/>
      <c r="D98" s="71"/>
      <c r="E98" s="71"/>
    </row>
    <row r="99" spans="1:5" x14ac:dyDescent="0.3">
      <c r="A99" s="121" t="s">
        <v>161</v>
      </c>
      <c r="B99" s="122">
        <f>B96+B98</f>
        <v>4104669.0199999996</v>
      </c>
      <c r="C99" s="71"/>
      <c r="D99" s="71"/>
      <c r="E99" s="71"/>
    </row>
    <row r="100" spans="1:5" x14ac:dyDescent="0.3">
      <c r="A100" s="71"/>
      <c r="B100" s="71"/>
      <c r="C100" s="71"/>
      <c r="D100" s="71"/>
      <c r="E100" s="71"/>
    </row>
    <row r="101" spans="1:5" hidden="1" x14ac:dyDescent="0.3">
      <c r="A101" s="157"/>
      <c r="B101" s="157"/>
      <c r="C101" s="157"/>
      <c r="D101" s="71"/>
      <c r="E101" s="71"/>
    </row>
    <row r="102" spans="1:5" ht="35.25" hidden="1" customHeight="1" x14ac:dyDescent="0.3">
      <c r="A102" s="157"/>
      <c r="B102" s="157"/>
      <c r="C102" s="157"/>
      <c r="D102" s="71"/>
      <c r="E102" s="71"/>
    </row>
    <row r="103" spans="1:5" x14ac:dyDescent="0.3">
      <c r="A103" s="71"/>
      <c r="B103" s="71"/>
      <c r="C103" s="71"/>
      <c r="D103" s="71"/>
      <c r="E103" s="71"/>
    </row>
    <row r="104" spans="1:5" x14ac:dyDescent="0.3">
      <c r="A104" s="123" t="s">
        <v>176</v>
      </c>
      <c r="B104" s="124"/>
      <c r="C104" s="125"/>
      <c r="D104" s="71"/>
      <c r="E104" s="71"/>
    </row>
    <row r="105" spans="1:5" x14ac:dyDescent="0.3">
      <c r="A105" s="16" t="s">
        <v>42</v>
      </c>
      <c r="B105" s="124">
        <v>333425.41715271771</v>
      </c>
      <c r="C105" s="126"/>
      <c r="D105" s="71"/>
      <c r="E105" s="71"/>
    </row>
    <row r="106" spans="1:5" ht="13.5" customHeight="1" x14ac:dyDescent="0.3">
      <c r="A106" s="127" t="s">
        <v>44</v>
      </c>
      <c r="B106" s="128">
        <f>PRORRATEO!I44</f>
        <v>3730327.6487200996</v>
      </c>
      <c r="C106" s="125"/>
      <c r="D106" s="112"/>
      <c r="E106" s="71"/>
    </row>
    <row r="107" spans="1:5" ht="13.5" customHeight="1" x14ac:dyDescent="0.3">
      <c r="A107" s="129" t="s">
        <v>208</v>
      </c>
      <c r="B107" s="151">
        <v>-128221</v>
      </c>
      <c r="C107" s="125"/>
      <c r="D107" s="112"/>
      <c r="E107" s="71"/>
    </row>
    <row r="108" spans="1:5" ht="13.5" customHeight="1" x14ac:dyDescent="0.3">
      <c r="A108" s="129" t="s">
        <v>196</v>
      </c>
      <c r="B108" s="151">
        <v>-135913.38</v>
      </c>
      <c r="C108" s="125"/>
      <c r="D108" s="112"/>
      <c r="E108" s="71"/>
    </row>
    <row r="109" spans="1:5" x14ac:dyDescent="0.3">
      <c r="A109" s="129" t="s">
        <v>193</v>
      </c>
      <c r="B109" s="144">
        <v>-115500</v>
      </c>
      <c r="C109" s="130"/>
      <c r="D109" s="71"/>
      <c r="E109" s="71"/>
    </row>
    <row r="110" spans="1:5" ht="31.5" customHeight="1" x14ac:dyDescent="0.3">
      <c r="A110" s="148" t="s">
        <v>192</v>
      </c>
      <c r="B110" s="146">
        <v>-12720</v>
      </c>
      <c r="C110" s="125"/>
      <c r="D110" s="71"/>
      <c r="E110" s="71"/>
    </row>
    <row r="111" spans="1:5" ht="18" customHeight="1" x14ac:dyDescent="0.3">
      <c r="A111" s="131" t="s">
        <v>43</v>
      </c>
      <c r="B111" s="145">
        <f>-(B99+B119)</f>
        <v>-3754758.0199999996</v>
      </c>
      <c r="C111" s="125"/>
      <c r="D111" s="71"/>
      <c r="E111" s="71"/>
    </row>
    <row r="112" spans="1:5" x14ac:dyDescent="0.3">
      <c r="A112" s="132" t="s">
        <v>16</v>
      </c>
      <c r="B112" s="42">
        <f>SUM(B105:B111)</f>
        <v>-83359.334127182141</v>
      </c>
      <c r="C112" s="133"/>
      <c r="D112" s="112"/>
      <c r="E112" s="71"/>
    </row>
    <row r="113" spans="1:5" x14ac:dyDescent="0.3">
      <c r="A113" s="71"/>
      <c r="B113" s="134"/>
      <c r="C113" s="133"/>
      <c r="D113" s="71"/>
      <c r="E113" s="71"/>
    </row>
    <row r="114" spans="1:5" x14ac:dyDescent="0.3">
      <c r="A114" s="71"/>
      <c r="B114" s="135"/>
      <c r="C114" s="133"/>
      <c r="D114" s="71"/>
      <c r="E114" s="71"/>
    </row>
    <row r="115" spans="1:5" s="28" customFormat="1" ht="27" customHeight="1" x14ac:dyDescent="0.3">
      <c r="A115" s="71"/>
      <c r="B115" s="134"/>
      <c r="C115" s="136"/>
      <c r="D115" s="137"/>
      <c r="E115" s="137"/>
    </row>
    <row r="116" spans="1:5" s="28" customFormat="1" ht="27" customHeight="1" x14ac:dyDescent="0.3">
      <c r="A116" s="138" t="s">
        <v>45</v>
      </c>
      <c r="B116" s="24"/>
      <c r="C116" s="136"/>
      <c r="D116" s="137"/>
      <c r="E116" s="139"/>
    </row>
    <row r="117" spans="1:5" s="28" customFormat="1" ht="15.75" customHeight="1" x14ac:dyDescent="0.3">
      <c r="A117" s="78" t="s">
        <v>42</v>
      </c>
      <c r="B117" s="24">
        <v>-29863.384174900071</v>
      </c>
      <c r="C117" s="136"/>
      <c r="D117" s="139"/>
      <c r="E117" s="139"/>
    </row>
    <row r="118" spans="1:5" ht="14.25" customHeight="1" x14ac:dyDescent="0.3">
      <c r="A118" s="78" t="s">
        <v>35</v>
      </c>
      <c r="B118" s="24">
        <f>PRORRATEO!I45</f>
        <v>711150.2635024999</v>
      </c>
      <c r="C118" s="133"/>
      <c r="D118" s="112"/>
      <c r="E118" s="71"/>
    </row>
    <row r="119" spans="1:5" x14ac:dyDescent="0.3">
      <c r="A119" s="78" t="s">
        <v>43</v>
      </c>
      <c r="B119" s="41">
        <f>-(D44+D74+G38)</f>
        <v>-349911</v>
      </c>
      <c r="C119" s="133"/>
      <c r="D119" s="71"/>
      <c r="E119" s="71"/>
    </row>
    <row r="120" spans="1:5" x14ac:dyDescent="0.3">
      <c r="A120" s="78"/>
      <c r="B120" s="41"/>
      <c r="C120" s="133"/>
      <c r="D120" s="71"/>
      <c r="E120" s="71"/>
    </row>
    <row r="121" spans="1:5" ht="17.25" hidden="1" customHeight="1" x14ac:dyDescent="0.3">
      <c r="A121" s="143"/>
      <c r="B121" s="142"/>
      <c r="C121" s="140"/>
      <c r="D121" s="71"/>
      <c r="E121" s="71"/>
    </row>
    <row r="122" spans="1:5" ht="17.25" hidden="1" customHeight="1" x14ac:dyDescent="0.3">
      <c r="A122" s="143"/>
      <c r="B122" s="142"/>
      <c r="C122" s="140"/>
      <c r="D122" s="71"/>
      <c r="E122" s="71"/>
    </row>
    <row r="123" spans="1:5" x14ac:dyDescent="0.3">
      <c r="A123" s="138" t="s">
        <v>46</v>
      </c>
      <c r="B123" s="42">
        <f>SUM(B117:B122)</f>
        <v>331375.87932759989</v>
      </c>
      <c r="C123" s="125"/>
      <c r="D123" s="71"/>
      <c r="E123" s="71"/>
    </row>
    <row r="124" spans="1:5" x14ac:dyDescent="0.3">
      <c r="A124" s="71"/>
      <c r="B124" s="71"/>
      <c r="C124" s="71"/>
      <c r="D124" s="71"/>
      <c r="E124" s="71"/>
    </row>
    <row r="126" spans="1:5" x14ac:dyDescent="0.3">
      <c r="A126" s="154" t="s">
        <v>164</v>
      </c>
      <c r="B126" s="154"/>
      <c r="C126" s="154"/>
    </row>
    <row r="127" spans="1:5" x14ac:dyDescent="0.3">
      <c r="A127" s="154"/>
      <c r="B127" s="154"/>
      <c r="C127" s="154"/>
    </row>
    <row r="128" spans="1:5" x14ac:dyDescent="0.3">
      <c r="A128" s="1" t="s">
        <v>195</v>
      </c>
      <c r="B128" s="1"/>
      <c r="C128" s="23">
        <v>131386.79</v>
      </c>
    </row>
    <row r="129" spans="1:13" x14ac:dyDescent="0.3">
      <c r="A129" s="32" t="s">
        <v>16</v>
      </c>
      <c r="B129" s="32"/>
      <c r="C129" s="33">
        <f>SUM(C128:C128)</f>
        <v>131386.79</v>
      </c>
    </row>
    <row r="130" spans="1:13" x14ac:dyDescent="0.3">
      <c r="M130" s="4"/>
    </row>
  </sheetData>
  <mergeCells count="9">
    <mergeCell ref="A126:C127"/>
    <mergeCell ref="A15:E18"/>
    <mergeCell ref="A22:E26"/>
    <mergeCell ref="A88:B88"/>
    <mergeCell ref="A89:B89"/>
    <mergeCell ref="A90:B90"/>
    <mergeCell ref="A91:B91"/>
    <mergeCell ref="A87:B87"/>
    <mergeCell ref="A101:C102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4"/>
  <sheetViews>
    <sheetView topLeftCell="C1" workbookViewId="0">
      <selection activeCell="H23" sqref="H23"/>
    </sheetView>
  </sheetViews>
  <sheetFormatPr baseColWidth="10" defaultRowHeight="14.4" x14ac:dyDescent="0.3"/>
  <cols>
    <col min="1" max="1" width="4.6640625" hidden="1" customWidth="1"/>
    <col min="2" max="2" width="5.88671875" hidden="1" customWidth="1"/>
    <col min="3" max="3" width="6.5546875" customWidth="1"/>
    <col min="4" max="4" width="15.6640625" customWidth="1"/>
    <col min="5" max="5" width="11.109375" customWidth="1"/>
    <col min="6" max="6" width="6.5546875" customWidth="1"/>
    <col min="7" max="7" width="13.5546875" bestFit="1" customWidth="1"/>
    <col min="8" max="8" width="11.6640625" customWidth="1"/>
    <col min="9" max="9" width="12" hidden="1" customWidth="1"/>
    <col min="10" max="10" width="10.6640625" customWidth="1"/>
    <col min="11" max="11" width="10.5546875" customWidth="1"/>
    <col min="12" max="12" width="13" customWidth="1"/>
    <col min="13" max="13" width="5" hidden="1" customWidth="1"/>
    <col min="14" max="14" width="14.6640625" customWidth="1"/>
    <col min="15" max="15" width="14.5546875" customWidth="1"/>
    <col min="17" max="17" width="12" bestFit="1" customWidth="1"/>
  </cols>
  <sheetData>
    <row r="1" spans="1:18" x14ac:dyDescent="0.3">
      <c r="A1" s="2"/>
      <c r="B1" s="2"/>
      <c r="C1" s="2"/>
      <c r="D1" s="2"/>
      <c r="E1" s="2"/>
      <c r="F1" s="2"/>
      <c r="G1" s="2" t="s">
        <v>6</v>
      </c>
      <c r="H1" s="2"/>
      <c r="I1" s="2"/>
      <c r="J1" s="2"/>
      <c r="K1" s="2"/>
      <c r="L1" s="2"/>
      <c r="M1" s="2"/>
      <c r="N1" s="2"/>
      <c r="O1" s="2"/>
    </row>
    <row r="2" spans="1:18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9">
        <v>3957433.496999999</v>
      </c>
      <c r="O2" s="39">
        <v>3957433.497</v>
      </c>
    </row>
    <row r="3" spans="1:18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3" t="s">
        <v>7</v>
      </c>
      <c r="L3" s="2"/>
      <c r="M3" s="2"/>
      <c r="N3" s="170">
        <f>N2</f>
        <v>3957433.496999999</v>
      </c>
      <c r="O3" s="170"/>
      <c r="P3" s="5"/>
    </row>
    <row r="4" spans="1:18" ht="15" thickBo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 t="s">
        <v>111</v>
      </c>
      <c r="L4" s="2"/>
      <c r="M4" s="2"/>
      <c r="N4" s="169">
        <v>0</v>
      </c>
      <c r="O4" s="169"/>
    </row>
    <row r="5" spans="1:18" x14ac:dyDescent="0.3">
      <c r="A5" s="171" t="s">
        <v>8</v>
      </c>
      <c r="B5" s="178" t="s">
        <v>9</v>
      </c>
      <c r="C5" s="180" t="s">
        <v>10</v>
      </c>
      <c r="D5" s="180" t="s">
        <v>11</v>
      </c>
      <c r="E5" s="180" t="s">
        <v>132</v>
      </c>
      <c r="F5" s="171" t="s">
        <v>37</v>
      </c>
      <c r="G5" s="171" t="s">
        <v>12</v>
      </c>
      <c r="H5" s="171" t="s">
        <v>13</v>
      </c>
      <c r="I5" s="14"/>
      <c r="J5" s="175" t="s">
        <v>147</v>
      </c>
      <c r="K5" s="173" t="s">
        <v>14</v>
      </c>
      <c r="L5" s="173" t="s">
        <v>33</v>
      </c>
      <c r="M5" s="173" t="s">
        <v>15</v>
      </c>
      <c r="N5" s="173" t="s">
        <v>31</v>
      </c>
      <c r="O5" s="173" t="s">
        <v>32</v>
      </c>
    </row>
    <row r="6" spans="1:18" x14ac:dyDescent="0.3">
      <c r="A6" s="172"/>
      <c r="B6" s="179"/>
      <c r="C6" s="181"/>
      <c r="D6" s="181"/>
      <c r="E6" s="182"/>
      <c r="F6" s="172"/>
      <c r="G6" s="172"/>
      <c r="H6" s="172"/>
      <c r="I6" s="15"/>
      <c r="J6" s="176"/>
      <c r="K6" s="174"/>
      <c r="L6" s="177"/>
      <c r="M6" s="177"/>
      <c r="N6" s="177"/>
      <c r="O6" s="174"/>
    </row>
    <row r="7" spans="1:18" x14ac:dyDescent="0.3">
      <c r="A7" s="1" t="s">
        <v>17</v>
      </c>
      <c r="B7" s="1"/>
      <c r="C7" s="34" t="s">
        <v>17</v>
      </c>
      <c r="D7" s="34" t="s">
        <v>84</v>
      </c>
      <c r="E7" s="34"/>
      <c r="F7" s="1">
        <v>2.63</v>
      </c>
      <c r="G7" s="24">
        <v>104080.82107822559</v>
      </c>
      <c r="H7" s="29">
        <f>168983-G39</f>
        <v>104081.09064920002</v>
      </c>
      <c r="I7" s="13" t="s">
        <v>123</v>
      </c>
      <c r="J7" s="7">
        <f>H7-G7</f>
        <v>0.26957097442937084</v>
      </c>
      <c r="K7" s="40">
        <f>N$4*F7%</f>
        <v>0</v>
      </c>
      <c r="L7" s="6">
        <f>N$3*F7%</f>
        <v>104080.50097109997</v>
      </c>
      <c r="M7" s="23"/>
      <c r="N7" s="23">
        <f>L7+K7-J7+M7</f>
        <v>104080.23140012554</v>
      </c>
      <c r="O7" s="23">
        <f>N7*6% + N7</f>
        <v>110325.04528413307</v>
      </c>
    </row>
    <row r="8" spans="1:18" x14ac:dyDescent="0.3">
      <c r="A8" s="1" t="s">
        <v>18</v>
      </c>
      <c r="B8" s="1"/>
      <c r="C8" s="34" t="s">
        <v>49</v>
      </c>
      <c r="D8" s="34" t="s">
        <v>85</v>
      </c>
      <c r="E8" s="34" t="s">
        <v>133</v>
      </c>
      <c r="F8" s="1">
        <v>3.33</v>
      </c>
      <c r="G8" s="24">
        <v>349863.1907638493</v>
      </c>
      <c r="H8" s="29">
        <f>131783</f>
        <v>131783</v>
      </c>
      <c r="I8" s="13" t="s">
        <v>123</v>
      </c>
      <c r="J8" s="7">
        <f t="shared" ref="J8:J42" si="0">H8-G8</f>
        <v>-218080.1907638493</v>
      </c>
      <c r="K8" s="40">
        <f t="shared" ref="K8:K42" si="1">N$4*F8%</f>
        <v>0</v>
      </c>
      <c r="L8" s="6">
        <f t="shared" ref="L8:L42" si="2">N$3*F8%</f>
        <v>131782.53545009997</v>
      </c>
      <c r="M8" s="23"/>
      <c r="N8" s="23">
        <f>L8+K8-J8+M8</f>
        <v>349862.72621394927</v>
      </c>
      <c r="O8" s="23">
        <f t="shared" ref="O8:O42" si="3">N8*6% + N8</f>
        <v>370854.4897867862</v>
      </c>
      <c r="Q8" s="31"/>
    </row>
    <row r="9" spans="1:18" x14ac:dyDescent="0.3">
      <c r="A9" s="1" t="s">
        <v>18</v>
      </c>
      <c r="B9" s="1"/>
      <c r="C9" s="34" t="s">
        <v>50</v>
      </c>
      <c r="D9" s="34" t="s">
        <v>86</v>
      </c>
      <c r="E9" s="34"/>
      <c r="F9" s="1">
        <v>3.32</v>
      </c>
      <c r="G9" s="24">
        <v>131386.79210039997</v>
      </c>
      <c r="H9" s="29">
        <f>99904.44+31482</f>
        <v>131386.44</v>
      </c>
      <c r="I9" s="13" t="s">
        <v>123</v>
      </c>
      <c r="J9" s="7">
        <f t="shared" si="0"/>
        <v>-0.35210039996309206</v>
      </c>
      <c r="K9" s="40">
        <f t="shared" si="1"/>
        <v>0</v>
      </c>
      <c r="L9" s="6">
        <f t="shared" si="2"/>
        <v>131386.79210039997</v>
      </c>
      <c r="M9" s="23"/>
      <c r="N9" s="23">
        <f t="shared" ref="N9:N42" si="4">L9+K9-J9+M9</f>
        <v>131387.14420079993</v>
      </c>
      <c r="O9" s="23">
        <f t="shared" si="3"/>
        <v>139270.37285284791</v>
      </c>
    </row>
    <row r="10" spans="1:18" x14ac:dyDescent="0.3">
      <c r="A10" s="1" t="s">
        <v>19</v>
      </c>
      <c r="B10" s="1"/>
      <c r="C10" s="34" t="s">
        <v>51</v>
      </c>
      <c r="D10" s="34" t="s">
        <v>120</v>
      </c>
      <c r="E10" s="34"/>
      <c r="F10" s="1">
        <v>3.42</v>
      </c>
      <c r="G10" s="24">
        <v>491417.68831600342</v>
      </c>
      <c r="H10" s="29">
        <f>136000</f>
        <v>136000</v>
      </c>
      <c r="I10" s="13" t="s">
        <v>123</v>
      </c>
      <c r="J10" s="7">
        <f t="shared" si="0"/>
        <v>-355417.68831600342</v>
      </c>
      <c r="K10" s="40">
        <f t="shared" si="1"/>
        <v>0</v>
      </c>
      <c r="L10" s="6">
        <f t="shared" si="2"/>
        <v>135344.22559739999</v>
      </c>
      <c r="M10" s="23"/>
      <c r="N10" s="23">
        <f t="shared" si="4"/>
        <v>490761.9139134034</v>
      </c>
      <c r="O10" s="23">
        <f t="shared" si="3"/>
        <v>520207.62874820759</v>
      </c>
    </row>
    <row r="11" spans="1:18" x14ac:dyDescent="0.3">
      <c r="A11" s="1" t="s">
        <v>19</v>
      </c>
      <c r="B11" s="1"/>
      <c r="C11" s="34" t="s">
        <v>52</v>
      </c>
      <c r="D11" s="34" t="s">
        <v>87</v>
      </c>
      <c r="E11" s="34"/>
      <c r="F11" s="1">
        <v>3.34</v>
      </c>
      <c r="G11" s="24">
        <v>132178.27879979997</v>
      </c>
      <c r="H11" s="29">
        <f>G11</f>
        <v>132178.27879979997</v>
      </c>
      <c r="I11" s="13" t="s">
        <v>123</v>
      </c>
      <c r="J11" s="7">
        <f t="shared" si="0"/>
        <v>0</v>
      </c>
      <c r="K11" s="40">
        <f t="shared" si="1"/>
        <v>0</v>
      </c>
      <c r="L11" s="6">
        <f t="shared" si="2"/>
        <v>132178.27879979997</v>
      </c>
      <c r="M11" s="23"/>
      <c r="N11" s="23">
        <f t="shared" si="4"/>
        <v>132178.27879979997</v>
      </c>
      <c r="O11" s="23">
        <f t="shared" si="3"/>
        <v>140108.97552778796</v>
      </c>
    </row>
    <row r="12" spans="1:18" x14ac:dyDescent="0.3">
      <c r="A12" s="1" t="s">
        <v>20</v>
      </c>
      <c r="B12" s="1"/>
      <c r="C12" s="34" t="s">
        <v>53</v>
      </c>
      <c r="D12" s="34" t="s">
        <v>144</v>
      </c>
      <c r="E12" s="34"/>
      <c r="F12" s="1">
        <v>3.33</v>
      </c>
      <c r="G12" s="24">
        <v>131782.53545009997</v>
      </c>
      <c r="H12" s="29">
        <f>G12</f>
        <v>131782.53545009997</v>
      </c>
      <c r="I12" s="13" t="s">
        <v>123</v>
      </c>
      <c r="J12" s="7">
        <f t="shared" si="0"/>
        <v>0</v>
      </c>
      <c r="K12" s="40">
        <f t="shared" si="1"/>
        <v>0</v>
      </c>
      <c r="L12" s="6">
        <f t="shared" si="2"/>
        <v>131782.53545009997</v>
      </c>
      <c r="M12" s="23"/>
      <c r="N12" s="23">
        <f t="shared" si="4"/>
        <v>131782.53545009997</v>
      </c>
      <c r="O12" s="23">
        <f t="shared" si="3"/>
        <v>139689.48757710596</v>
      </c>
    </row>
    <row r="13" spans="1:18" x14ac:dyDescent="0.3">
      <c r="A13" s="1" t="s">
        <v>20</v>
      </c>
      <c r="B13" s="1"/>
      <c r="C13" s="34" t="s">
        <v>54</v>
      </c>
      <c r="D13" s="34" t="s">
        <v>88</v>
      </c>
      <c r="E13" s="34"/>
      <c r="F13" s="1">
        <v>3.32</v>
      </c>
      <c r="G13" s="24">
        <v>131386.79210039997</v>
      </c>
      <c r="H13" s="29">
        <f>G13</f>
        <v>131386.79210039997</v>
      </c>
      <c r="I13" s="13" t="s">
        <v>123</v>
      </c>
      <c r="J13" s="7">
        <f t="shared" si="0"/>
        <v>0</v>
      </c>
      <c r="K13" s="40">
        <f t="shared" si="1"/>
        <v>0</v>
      </c>
      <c r="L13" s="6">
        <f t="shared" si="2"/>
        <v>131386.79210039997</v>
      </c>
      <c r="M13" s="23"/>
      <c r="N13" s="23">
        <f t="shared" si="4"/>
        <v>131386.79210039997</v>
      </c>
      <c r="O13" s="23">
        <f t="shared" si="3"/>
        <v>139269.99962642396</v>
      </c>
    </row>
    <row r="14" spans="1:18" x14ac:dyDescent="0.3">
      <c r="A14" s="1" t="s">
        <v>21</v>
      </c>
      <c r="B14" s="1"/>
      <c r="C14" s="34" t="s">
        <v>55</v>
      </c>
      <c r="D14" s="34" t="s">
        <v>89</v>
      </c>
      <c r="E14" s="34"/>
      <c r="F14" s="1">
        <v>3.33</v>
      </c>
      <c r="G14" s="24">
        <v>131782.53545009997</v>
      </c>
      <c r="H14" s="29">
        <f>100205.36+31577.18</f>
        <v>131782.54</v>
      </c>
      <c r="I14" s="13" t="s">
        <v>123</v>
      </c>
      <c r="J14" s="7">
        <f t="shared" si="0"/>
        <v>4.5499000407289714E-3</v>
      </c>
      <c r="K14" s="40">
        <f t="shared" si="1"/>
        <v>0</v>
      </c>
      <c r="L14" s="6">
        <f t="shared" si="2"/>
        <v>131782.53545009997</v>
      </c>
      <c r="M14" s="23"/>
      <c r="N14" s="23">
        <f t="shared" si="4"/>
        <v>131782.53090019993</v>
      </c>
      <c r="O14" s="23">
        <f t="shared" si="3"/>
        <v>139689.48275421193</v>
      </c>
    </row>
    <row r="15" spans="1:18" x14ac:dyDescent="0.3">
      <c r="A15" s="1" t="s">
        <v>21</v>
      </c>
      <c r="B15" s="1"/>
      <c r="C15" s="34" t="s">
        <v>56</v>
      </c>
      <c r="D15" s="34" t="s">
        <v>90</v>
      </c>
      <c r="E15" s="34" t="s">
        <v>148</v>
      </c>
      <c r="F15" s="1">
        <v>3.24</v>
      </c>
      <c r="G15" s="24">
        <v>204755.8907432048</v>
      </c>
      <c r="H15" s="29">
        <v>128221</v>
      </c>
      <c r="I15" s="13" t="s">
        <v>123</v>
      </c>
      <c r="J15" s="7">
        <f t="shared" si="0"/>
        <v>-76534.8907432048</v>
      </c>
      <c r="K15" s="40">
        <f t="shared" si="1"/>
        <v>0</v>
      </c>
      <c r="L15" s="6">
        <f t="shared" si="2"/>
        <v>128220.84530279999</v>
      </c>
      <c r="M15" s="23"/>
      <c r="N15" s="23">
        <f t="shared" si="4"/>
        <v>204755.73604600481</v>
      </c>
      <c r="O15" s="23">
        <f t="shared" si="3"/>
        <v>217041.08020876511</v>
      </c>
      <c r="R15" t="s">
        <v>184</v>
      </c>
    </row>
    <row r="16" spans="1:18" x14ac:dyDescent="0.3">
      <c r="A16" s="1" t="s">
        <v>22</v>
      </c>
      <c r="B16" s="1"/>
      <c r="C16" s="34" t="s">
        <v>57</v>
      </c>
      <c r="D16" s="34" t="s">
        <v>91</v>
      </c>
      <c r="E16" s="34" t="s">
        <v>137</v>
      </c>
      <c r="F16" s="1">
        <v>3.33</v>
      </c>
      <c r="G16" s="24">
        <v>131782.53545009997</v>
      </c>
      <c r="H16" s="29"/>
      <c r="I16" s="13" t="s">
        <v>123</v>
      </c>
      <c r="J16" s="7">
        <f t="shared" si="0"/>
        <v>-131782.53545009997</v>
      </c>
      <c r="K16" s="40">
        <f t="shared" si="1"/>
        <v>0</v>
      </c>
      <c r="L16" s="6">
        <f t="shared" si="2"/>
        <v>131782.53545009997</v>
      </c>
      <c r="M16" s="23"/>
      <c r="N16" s="23">
        <f>L16+K16-J16+M16</f>
        <v>263565.07090019993</v>
      </c>
      <c r="O16" s="23">
        <f t="shared" si="3"/>
        <v>279378.97515421192</v>
      </c>
    </row>
    <row r="17" spans="1:18" x14ac:dyDescent="0.3">
      <c r="A17" s="1" t="s">
        <v>22</v>
      </c>
      <c r="B17" s="1"/>
      <c r="C17" s="34" t="s">
        <v>58</v>
      </c>
      <c r="D17" s="34" t="s">
        <v>92</v>
      </c>
      <c r="E17" s="34"/>
      <c r="F17" s="1">
        <v>3.32</v>
      </c>
      <c r="G17" s="24">
        <v>131386.79210039997</v>
      </c>
      <c r="H17" s="29">
        <f>G17</f>
        <v>131386.79210039997</v>
      </c>
      <c r="I17" s="13" t="s">
        <v>123</v>
      </c>
      <c r="J17" s="7">
        <f t="shared" si="0"/>
        <v>0</v>
      </c>
      <c r="K17" s="40">
        <f t="shared" si="1"/>
        <v>0</v>
      </c>
      <c r="L17" s="6">
        <f t="shared" si="2"/>
        <v>131386.79210039997</v>
      </c>
      <c r="M17" s="23"/>
      <c r="N17" s="23">
        <f t="shared" si="4"/>
        <v>131386.79210039997</v>
      </c>
      <c r="O17" s="23">
        <f t="shared" si="3"/>
        <v>139269.99962642396</v>
      </c>
    </row>
    <row r="18" spans="1:18" x14ac:dyDescent="0.3">
      <c r="A18" s="1" t="s">
        <v>23</v>
      </c>
      <c r="B18" s="1"/>
      <c r="C18" s="34" t="s">
        <v>59</v>
      </c>
      <c r="D18" s="34" t="s">
        <v>93</v>
      </c>
      <c r="E18" s="34"/>
      <c r="F18" s="1">
        <v>3.33</v>
      </c>
      <c r="G18" s="24">
        <v>211782.53936730002</v>
      </c>
      <c r="H18" s="29">
        <f>50000+51783</f>
        <v>101783</v>
      </c>
      <c r="I18" s="13" t="s">
        <v>123</v>
      </c>
      <c r="J18" s="7">
        <f t="shared" si="0"/>
        <v>-109999.53936730002</v>
      </c>
      <c r="K18" s="40">
        <f t="shared" si="1"/>
        <v>0</v>
      </c>
      <c r="L18" s="6">
        <f t="shared" si="2"/>
        <v>131782.53545009997</v>
      </c>
      <c r="M18" s="23"/>
      <c r="N18" s="23">
        <f t="shared" si="4"/>
        <v>241782.07481739999</v>
      </c>
      <c r="O18" s="23">
        <f t="shared" si="3"/>
        <v>256288.99930644399</v>
      </c>
    </row>
    <row r="19" spans="1:18" x14ac:dyDescent="0.3">
      <c r="A19" s="1" t="s">
        <v>23</v>
      </c>
      <c r="B19" s="1"/>
      <c r="C19" s="34" t="s">
        <v>60</v>
      </c>
      <c r="D19" s="34" t="s">
        <v>94</v>
      </c>
      <c r="E19" s="34"/>
      <c r="F19" s="1">
        <v>3.24</v>
      </c>
      <c r="G19" s="24">
        <v>128574.18954637241</v>
      </c>
      <c r="H19" s="29">
        <f>130000+63500-H32</f>
        <v>128598.09064920002</v>
      </c>
      <c r="I19" s="13" t="s">
        <v>123</v>
      </c>
      <c r="J19" s="7">
        <f t="shared" si="0"/>
        <v>23.901102827614523</v>
      </c>
      <c r="K19" s="40">
        <f t="shared" si="1"/>
        <v>0</v>
      </c>
      <c r="L19" s="6">
        <f t="shared" si="2"/>
        <v>128220.84530279999</v>
      </c>
      <c r="M19" s="23"/>
      <c r="N19" s="23">
        <f t="shared" si="4"/>
        <v>128196.94419997238</v>
      </c>
      <c r="O19" s="23">
        <f t="shared" si="3"/>
        <v>135888.76085197073</v>
      </c>
    </row>
    <row r="20" spans="1:18" x14ac:dyDescent="0.3">
      <c r="A20" s="1" t="s">
        <v>24</v>
      </c>
      <c r="B20" s="1"/>
      <c r="C20" s="34" t="s">
        <v>61</v>
      </c>
      <c r="D20" s="34" t="s">
        <v>95</v>
      </c>
      <c r="E20" s="34" t="s">
        <v>139</v>
      </c>
      <c r="F20" s="1">
        <v>3.33</v>
      </c>
      <c r="G20" s="24">
        <v>148017.32999999999</v>
      </c>
      <c r="H20" s="29">
        <v>140000</v>
      </c>
      <c r="I20" s="13" t="s">
        <v>123</v>
      </c>
      <c r="J20" s="7">
        <f t="shared" si="0"/>
        <v>-8017.3299999999872</v>
      </c>
      <c r="K20" s="40">
        <f t="shared" si="1"/>
        <v>0</v>
      </c>
      <c r="L20" s="6">
        <f t="shared" si="2"/>
        <v>131782.53545009997</v>
      </c>
      <c r="M20" s="23"/>
      <c r="N20" s="23">
        <f t="shared" si="4"/>
        <v>139799.86545009995</v>
      </c>
      <c r="O20" s="23">
        <f t="shared" si="3"/>
        <v>148187.85737710595</v>
      </c>
    </row>
    <row r="21" spans="1:18" x14ac:dyDescent="0.3">
      <c r="A21" s="1" t="s">
        <v>24</v>
      </c>
      <c r="B21" s="1"/>
      <c r="C21" s="34" t="s">
        <v>62</v>
      </c>
      <c r="D21" s="34" t="s">
        <v>96</v>
      </c>
      <c r="E21" s="34"/>
      <c r="F21" s="1">
        <v>3.32</v>
      </c>
      <c r="G21" s="24">
        <v>655681.48441645608</v>
      </c>
      <c r="H21" s="29">
        <f>458000-H35+200000</f>
        <v>463294.27194760006</v>
      </c>
      <c r="I21" s="13" t="s">
        <v>152</v>
      </c>
      <c r="J21" s="7">
        <f>H21-G21</f>
        <v>-192387.21246885601</v>
      </c>
      <c r="K21" s="40">
        <f t="shared" si="1"/>
        <v>0</v>
      </c>
      <c r="L21" s="6">
        <f t="shared" si="2"/>
        <v>131386.79210039997</v>
      </c>
      <c r="M21" s="23"/>
      <c r="N21" s="23">
        <f t="shared" si="4"/>
        <v>323774.00456925598</v>
      </c>
      <c r="O21" s="23">
        <f t="shared" si="3"/>
        <v>343200.44484341133</v>
      </c>
    </row>
    <row r="22" spans="1:18" x14ac:dyDescent="0.3">
      <c r="A22" s="1" t="s">
        <v>25</v>
      </c>
      <c r="B22" s="1"/>
      <c r="C22" s="34" t="s">
        <v>63</v>
      </c>
      <c r="D22" s="34" t="s">
        <v>97</v>
      </c>
      <c r="E22" s="34"/>
      <c r="F22" s="1">
        <v>3.33</v>
      </c>
      <c r="G22" s="13">
        <v>1732104.5207638489</v>
      </c>
      <c r="H22" s="29"/>
      <c r="I22" s="13" t="s">
        <v>123</v>
      </c>
      <c r="J22" s="43">
        <f t="shared" si="0"/>
        <v>-1732104.5207638489</v>
      </c>
      <c r="K22" s="40">
        <f t="shared" si="1"/>
        <v>0</v>
      </c>
      <c r="L22" s="6">
        <f t="shared" si="2"/>
        <v>131782.53545009997</v>
      </c>
      <c r="M22" s="23"/>
      <c r="N22" s="23">
        <f t="shared" si="4"/>
        <v>1863887.0562139489</v>
      </c>
      <c r="O22" s="23">
        <f t="shared" si="3"/>
        <v>1975720.2795867857</v>
      </c>
      <c r="R22" s="30"/>
    </row>
    <row r="23" spans="1:18" x14ac:dyDescent="0.3">
      <c r="A23" s="1" t="s">
        <v>25</v>
      </c>
      <c r="B23" s="1"/>
      <c r="C23" s="34" t="s">
        <v>64</v>
      </c>
      <c r="D23" s="34" t="s">
        <v>98</v>
      </c>
      <c r="E23" s="34" t="s">
        <v>183</v>
      </c>
      <c r="F23" s="1">
        <v>3.24</v>
      </c>
      <c r="G23" s="24">
        <v>384661.86239296006</v>
      </c>
      <c r="H23" s="29">
        <f>128700+128321+127641</f>
        <v>384662</v>
      </c>
      <c r="I23" s="13" t="s">
        <v>140</v>
      </c>
      <c r="J23" s="7">
        <f t="shared" si="0"/>
        <v>0.13760703994194046</v>
      </c>
      <c r="K23" s="40">
        <f t="shared" si="1"/>
        <v>0</v>
      </c>
      <c r="L23" s="6">
        <f t="shared" si="2"/>
        <v>128220.84530279999</v>
      </c>
      <c r="M23" s="23"/>
      <c r="N23" s="23">
        <f t="shared" si="4"/>
        <v>128220.70769576005</v>
      </c>
      <c r="O23" s="23">
        <f t="shared" si="3"/>
        <v>135913.95015750566</v>
      </c>
    </row>
    <row r="24" spans="1:18" x14ac:dyDescent="0.3">
      <c r="A24" s="1" t="s">
        <v>26</v>
      </c>
      <c r="B24" s="1"/>
      <c r="C24" s="34" t="s">
        <v>65</v>
      </c>
      <c r="D24" s="34" t="s">
        <v>99</v>
      </c>
      <c r="E24" s="34"/>
      <c r="F24" s="1">
        <v>3.24</v>
      </c>
      <c r="G24" s="24">
        <v>120054.91938440005</v>
      </c>
      <c r="H24" s="29">
        <v>127258</v>
      </c>
      <c r="I24" s="13" t="s">
        <v>123</v>
      </c>
      <c r="J24" s="7">
        <f t="shared" si="0"/>
        <v>7203.0806155999453</v>
      </c>
      <c r="K24" s="40">
        <f t="shared" si="1"/>
        <v>0</v>
      </c>
      <c r="L24" s="6">
        <f t="shared" si="2"/>
        <v>128220.84530279999</v>
      </c>
      <c r="M24" s="23"/>
      <c r="N24" s="23">
        <f t="shared" si="4"/>
        <v>121017.76468720005</v>
      </c>
      <c r="O24" s="23">
        <f t="shared" si="3"/>
        <v>128278.83056843205</v>
      </c>
    </row>
    <row r="25" spans="1:18" x14ac:dyDescent="0.3">
      <c r="A25" s="1" t="s">
        <v>26</v>
      </c>
      <c r="B25" s="1"/>
      <c r="C25" s="34" t="s">
        <v>66</v>
      </c>
      <c r="D25" s="34" t="s">
        <v>100</v>
      </c>
      <c r="E25" s="34" t="s">
        <v>138</v>
      </c>
      <c r="F25" s="1">
        <v>3.32</v>
      </c>
      <c r="G25" s="24">
        <v>119609.98920999994</v>
      </c>
      <c r="H25" s="29">
        <f>184510-H33</f>
        <v>119608.09064920002</v>
      </c>
      <c r="I25" s="13" t="s">
        <v>123</v>
      </c>
      <c r="J25" s="7">
        <f t="shared" si="0"/>
        <v>-1.898560799920233</v>
      </c>
      <c r="K25" s="40">
        <f t="shared" si="1"/>
        <v>0</v>
      </c>
      <c r="L25" s="6">
        <f t="shared" si="2"/>
        <v>131386.79210039997</v>
      </c>
      <c r="M25" s="23"/>
      <c r="N25" s="23">
        <f t="shared" si="4"/>
        <v>131388.69066119989</v>
      </c>
      <c r="O25" s="23">
        <f t="shared" si="3"/>
        <v>139272.01210087189</v>
      </c>
    </row>
    <row r="26" spans="1:18" x14ac:dyDescent="0.3">
      <c r="A26" s="1" t="s">
        <v>27</v>
      </c>
      <c r="B26" s="1"/>
      <c r="C26" s="34" t="s">
        <v>67</v>
      </c>
      <c r="D26" s="34" t="s">
        <v>101</v>
      </c>
      <c r="E26" s="34" t="s">
        <v>134</v>
      </c>
      <c r="F26" s="1">
        <v>3.33</v>
      </c>
      <c r="G26" s="17">
        <v>131782.53545009997</v>
      </c>
      <c r="H26" s="29">
        <f>G26</f>
        <v>131782.53545009997</v>
      </c>
      <c r="I26" s="13" t="s">
        <v>123</v>
      </c>
      <c r="J26" s="7">
        <f t="shared" si="0"/>
        <v>0</v>
      </c>
      <c r="K26" s="40">
        <f t="shared" si="1"/>
        <v>0</v>
      </c>
      <c r="L26" s="6">
        <f t="shared" si="2"/>
        <v>131782.53545009997</v>
      </c>
      <c r="M26" s="23"/>
      <c r="N26" s="23">
        <f t="shared" si="4"/>
        <v>131782.53545009997</v>
      </c>
      <c r="O26" s="23">
        <f t="shared" si="3"/>
        <v>139689.48757710596</v>
      </c>
    </row>
    <row r="27" spans="1:18" x14ac:dyDescent="0.3">
      <c r="A27" s="1" t="s">
        <v>28</v>
      </c>
      <c r="B27" s="1"/>
      <c r="C27" s="34" t="s">
        <v>68</v>
      </c>
      <c r="D27" s="34" t="s">
        <v>102</v>
      </c>
      <c r="E27" s="34" t="s">
        <v>135</v>
      </c>
      <c r="F27" s="1">
        <v>3.24</v>
      </c>
      <c r="G27" s="24">
        <v>256441.29572003422</v>
      </c>
      <c r="H27" s="29">
        <f>115500+128221+12720</f>
        <v>256441</v>
      </c>
      <c r="I27" s="13" t="s">
        <v>152</v>
      </c>
      <c r="J27" s="7">
        <f t="shared" si="0"/>
        <v>-0.29572003422072157</v>
      </c>
      <c r="K27" s="40">
        <f t="shared" si="1"/>
        <v>0</v>
      </c>
      <c r="L27" s="6">
        <f t="shared" si="2"/>
        <v>128220.84530279999</v>
      </c>
      <c r="M27" s="23"/>
      <c r="N27" s="23">
        <f t="shared" si="4"/>
        <v>128221.14102283421</v>
      </c>
      <c r="O27" s="23">
        <f t="shared" si="3"/>
        <v>135914.40948420425</v>
      </c>
    </row>
    <row r="28" spans="1:18" x14ac:dyDescent="0.3">
      <c r="A28" s="1" t="s">
        <v>29</v>
      </c>
      <c r="B28" s="1"/>
      <c r="C28" s="34" t="s">
        <v>69</v>
      </c>
      <c r="D28" s="34" t="s">
        <v>103</v>
      </c>
      <c r="E28" s="34"/>
      <c r="F28" s="1">
        <v>3.33</v>
      </c>
      <c r="G28" s="24">
        <v>131782.53545009997</v>
      </c>
      <c r="H28" s="29">
        <f>G28</f>
        <v>131782.53545009997</v>
      </c>
      <c r="I28" s="13" t="s">
        <v>124</v>
      </c>
      <c r="J28" s="7">
        <f t="shared" si="0"/>
        <v>0</v>
      </c>
      <c r="K28" s="40">
        <f t="shared" si="1"/>
        <v>0</v>
      </c>
      <c r="L28" s="6">
        <f t="shared" si="2"/>
        <v>131782.53545009997</v>
      </c>
      <c r="M28" s="23"/>
      <c r="N28" s="23">
        <f t="shared" si="4"/>
        <v>131782.53545009997</v>
      </c>
      <c r="O28" s="23">
        <f t="shared" si="3"/>
        <v>139689.48757710596</v>
      </c>
    </row>
    <row r="29" spans="1:18" x14ac:dyDescent="0.3">
      <c r="A29" s="1" t="s">
        <v>30</v>
      </c>
      <c r="B29" s="1"/>
      <c r="C29" s="34" t="s">
        <v>70</v>
      </c>
      <c r="D29" s="34" t="s">
        <v>104</v>
      </c>
      <c r="E29" s="34"/>
      <c r="F29" s="1">
        <v>3.32</v>
      </c>
      <c r="G29" s="24">
        <v>131387.19936919998</v>
      </c>
      <c r="H29" s="29">
        <f>G29</f>
        <v>131387.19936919998</v>
      </c>
      <c r="I29" s="13" t="s">
        <v>123</v>
      </c>
      <c r="J29" s="7">
        <f t="shared" si="0"/>
        <v>0</v>
      </c>
      <c r="K29" s="40">
        <f t="shared" si="1"/>
        <v>0</v>
      </c>
      <c r="L29" s="6">
        <f t="shared" si="2"/>
        <v>131386.79210039997</v>
      </c>
      <c r="M29" s="23"/>
      <c r="N29" s="23">
        <f t="shared" si="4"/>
        <v>131386.79210039997</v>
      </c>
      <c r="O29" s="23">
        <f t="shared" si="3"/>
        <v>139269.99962642396</v>
      </c>
    </row>
    <row r="30" spans="1:18" x14ac:dyDescent="0.3">
      <c r="A30" s="1" t="s">
        <v>36</v>
      </c>
      <c r="B30" s="1"/>
      <c r="C30" s="34" t="s">
        <v>71</v>
      </c>
      <c r="D30" s="34" t="s">
        <v>105</v>
      </c>
      <c r="E30" s="34" t="s">
        <v>136</v>
      </c>
      <c r="F30" s="1">
        <v>3.33</v>
      </c>
      <c r="G30" s="24">
        <v>131782.53545009997</v>
      </c>
      <c r="H30" s="29">
        <f>G30</f>
        <v>131782.53545009997</v>
      </c>
      <c r="I30" s="13" t="s">
        <v>123</v>
      </c>
      <c r="J30" s="7">
        <f t="shared" si="0"/>
        <v>0</v>
      </c>
      <c r="K30" s="40">
        <f t="shared" si="1"/>
        <v>0</v>
      </c>
      <c r="L30" s="6">
        <f t="shared" si="2"/>
        <v>131782.53545009997</v>
      </c>
      <c r="M30" s="23"/>
      <c r="N30" s="23">
        <f t="shared" si="4"/>
        <v>131782.53545009997</v>
      </c>
      <c r="O30" s="23">
        <f t="shared" si="3"/>
        <v>139689.48757710596</v>
      </c>
    </row>
    <row r="31" spans="1:18" x14ac:dyDescent="0.3">
      <c r="A31" s="1" t="s">
        <v>36</v>
      </c>
      <c r="B31" s="1"/>
      <c r="C31" s="34" t="s">
        <v>72</v>
      </c>
      <c r="D31" s="149" t="s">
        <v>194</v>
      </c>
      <c r="E31" s="35"/>
      <c r="F31" s="1">
        <v>3.24</v>
      </c>
      <c r="G31" s="24">
        <v>762500.11076129321</v>
      </c>
      <c r="H31" s="29">
        <v>128221</v>
      </c>
      <c r="I31" s="13" t="s">
        <v>123</v>
      </c>
      <c r="J31" s="7">
        <f t="shared" si="0"/>
        <v>-634279.11076129321</v>
      </c>
      <c r="K31" s="40">
        <f t="shared" si="1"/>
        <v>0</v>
      </c>
      <c r="L31" s="6">
        <f t="shared" si="2"/>
        <v>128220.84530279999</v>
      </c>
      <c r="M31" s="23"/>
      <c r="N31" s="23">
        <f>L31+K31-J31+M31</f>
        <v>762499.95606409316</v>
      </c>
      <c r="O31" s="23">
        <f t="shared" si="3"/>
        <v>808249.95342793874</v>
      </c>
    </row>
    <row r="32" spans="1:18" x14ac:dyDescent="0.3">
      <c r="A32" s="1" t="s">
        <v>36</v>
      </c>
      <c r="B32" s="1"/>
      <c r="C32" s="34" t="s">
        <v>73</v>
      </c>
      <c r="D32" s="34" t="s">
        <v>94</v>
      </c>
      <c r="E32" s="34"/>
      <c r="F32" s="1">
        <v>1.64</v>
      </c>
      <c r="G32" s="24">
        <v>64901.909350799979</v>
      </c>
      <c r="H32" s="29">
        <f>G32</f>
        <v>64901.909350799979</v>
      </c>
      <c r="I32" s="13" t="s">
        <v>123</v>
      </c>
      <c r="J32" s="7">
        <f t="shared" si="0"/>
        <v>0</v>
      </c>
      <c r="K32" s="40">
        <f t="shared" si="1"/>
        <v>0</v>
      </c>
      <c r="L32" s="6">
        <f t="shared" si="2"/>
        <v>64901.909350799979</v>
      </c>
      <c r="M32" s="23"/>
      <c r="N32" s="23">
        <f t="shared" si="4"/>
        <v>64901.909350799979</v>
      </c>
      <c r="O32" s="23">
        <f t="shared" si="3"/>
        <v>68796.02391184798</v>
      </c>
    </row>
    <row r="33" spans="1:15" x14ac:dyDescent="0.3">
      <c r="A33" s="1" t="s">
        <v>36</v>
      </c>
      <c r="B33" s="1"/>
      <c r="C33" s="34" t="s">
        <v>74</v>
      </c>
      <c r="D33" s="34" t="s">
        <v>100</v>
      </c>
      <c r="E33" s="34"/>
      <c r="F33" s="1">
        <v>1.64</v>
      </c>
      <c r="G33" s="24">
        <v>64901.909350799979</v>
      </c>
      <c r="H33" s="29">
        <f>G33</f>
        <v>64901.909350799979</v>
      </c>
      <c r="I33" s="13" t="s">
        <v>123</v>
      </c>
      <c r="J33" s="7">
        <f t="shared" si="0"/>
        <v>0</v>
      </c>
      <c r="K33" s="40">
        <f t="shared" si="1"/>
        <v>0</v>
      </c>
      <c r="L33" s="6">
        <f t="shared" si="2"/>
        <v>64901.909350799979</v>
      </c>
      <c r="M33" s="23"/>
      <c r="N33" s="23">
        <f t="shared" si="4"/>
        <v>64901.909350799979</v>
      </c>
      <c r="O33" s="23">
        <f t="shared" si="3"/>
        <v>68796.02391184798</v>
      </c>
    </row>
    <row r="34" spans="1:15" x14ac:dyDescent="0.3">
      <c r="A34" s="1" t="s">
        <v>36</v>
      </c>
      <c r="B34" s="1"/>
      <c r="C34" s="34" t="s">
        <v>75</v>
      </c>
      <c r="D34" s="34" t="s">
        <v>85</v>
      </c>
      <c r="E34" s="34"/>
      <c r="F34" s="1">
        <v>1.64</v>
      </c>
      <c r="G34" s="24">
        <v>127283.42996256729</v>
      </c>
      <c r="H34" s="29">
        <v>130000</v>
      </c>
      <c r="I34" s="13" t="s">
        <v>123</v>
      </c>
      <c r="J34" s="7">
        <f t="shared" si="0"/>
        <v>2716.5700374327134</v>
      </c>
      <c r="K34" s="40">
        <f t="shared" si="1"/>
        <v>0</v>
      </c>
      <c r="L34" s="6">
        <f t="shared" si="2"/>
        <v>64901.909350799979</v>
      </c>
      <c r="M34" s="23"/>
      <c r="N34" s="23">
        <f t="shared" si="4"/>
        <v>62185.339313367265</v>
      </c>
      <c r="O34" s="23">
        <f t="shared" si="3"/>
        <v>65916.459672169294</v>
      </c>
    </row>
    <row r="35" spans="1:15" x14ac:dyDescent="0.3">
      <c r="A35" s="1" t="s">
        <v>36</v>
      </c>
      <c r="B35" s="1"/>
      <c r="C35" s="34" t="s">
        <v>76</v>
      </c>
      <c r="D35" s="34" t="s">
        <v>106</v>
      </c>
      <c r="E35" s="34"/>
      <c r="F35" s="1">
        <v>1.64</v>
      </c>
      <c r="G35" s="24">
        <v>194705.72805239997</v>
      </c>
      <c r="H35" s="29">
        <f>G35</f>
        <v>194705.72805239997</v>
      </c>
      <c r="I35" s="13" t="s">
        <v>123</v>
      </c>
      <c r="J35" s="7">
        <f t="shared" si="0"/>
        <v>0</v>
      </c>
      <c r="K35" s="40">
        <f t="shared" si="1"/>
        <v>0</v>
      </c>
      <c r="L35" s="6">
        <f t="shared" si="2"/>
        <v>64901.909350799979</v>
      </c>
      <c r="M35" s="23"/>
      <c r="N35" s="23">
        <f t="shared" si="4"/>
        <v>64901.909350799979</v>
      </c>
      <c r="O35" s="23">
        <f t="shared" si="3"/>
        <v>68796.02391184798</v>
      </c>
    </row>
    <row r="36" spans="1:15" x14ac:dyDescent="0.3">
      <c r="A36" s="1" t="s">
        <v>36</v>
      </c>
      <c r="B36" s="1"/>
      <c r="C36" s="34" t="s">
        <v>77</v>
      </c>
      <c r="D36" s="34" t="s">
        <v>107</v>
      </c>
      <c r="E36" s="34"/>
      <c r="F36" s="1">
        <v>1.64</v>
      </c>
      <c r="G36" s="24">
        <v>64901.909350799979</v>
      </c>
      <c r="H36" s="29">
        <f>G36</f>
        <v>64901.909350799979</v>
      </c>
      <c r="I36" s="13" t="s">
        <v>140</v>
      </c>
      <c r="J36" s="7">
        <f t="shared" si="0"/>
        <v>0</v>
      </c>
      <c r="K36" s="40">
        <f t="shared" si="1"/>
        <v>0</v>
      </c>
      <c r="L36" s="6">
        <f t="shared" si="2"/>
        <v>64901.909350799979</v>
      </c>
      <c r="M36" s="23"/>
      <c r="N36" s="23">
        <f t="shared" si="4"/>
        <v>64901.909350799979</v>
      </c>
      <c r="O36" s="23">
        <f t="shared" si="3"/>
        <v>68796.02391184798</v>
      </c>
    </row>
    <row r="37" spans="1:15" x14ac:dyDescent="0.3">
      <c r="A37" s="1" t="s">
        <v>36</v>
      </c>
      <c r="B37" s="1"/>
      <c r="C37" s="34" t="s">
        <v>78</v>
      </c>
      <c r="D37" s="34" t="s">
        <v>103</v>
      </c>
      <c r="E37" s="34"/>
      <c r="F37" s="1">
        <v>1.64</v>
      </c>
      <c r="G37" s="24">
        <v>64901.909350799979</v>
      </c>
      <c r="H37" s="29">
        <f>G37</f>
        <v>64901.909350799979</v>
      </c>
      <c r="I37" s="13" t="s">
        <v>124</v>
      </c>
      <c r="J37" s="7">
        <f t="shared" si="0"/>
        <v>0</v>
      </c>
      <c r="K37" s="40">
        <f t="shared" si="1"/>
        <v>0</v>
      </c>
      <c r="L37" s="6">
        <f t="shared" si="2"/>
        <v>64901.909350799979</v>
      </c>
      <c r="M37" s="23"/>
      <c r="N37" s="23">
        <f t="shared" si="4"/>
        <v>64901.909350799979</v>
      </c>
      <c r="O37" s="23">
        <f t="shared" si="3"/>
        <v>68796.02391184798</v>
      </c>
    </row>
    <row r="38" spans="1:15" x14ac:dyDescent="0.3">
      <c r="A38" s="1" t="s">
        <v>36</v>
      </c>
      <c r="B38" s="1"/>
      <c r="C38" s="34" t="s">
        <v>79</v>
      </c>
      <c r="D38" s="34" t="s">
        <v>97</v>
      </c>
      <c r="E38" s="34"/>
      <c r="F38" s="1">
        <v>1.64</v>
      </c>
      <c r="G38" s="24">
        <v>853048.47815396765</v>
      </c>
      <c r="H38" s="29"/>
      <c r="I38" s="13" t="s">
        <v>123</v>
      </c>
      <c r="J38" s="7">
        <f t="shared" si="0"/>
        <v>-853048.47815396765</v>
      </c>
      <c r="K38" s="40">
        <f t="shared" si="1"/>
        <v>0</v>
      </c>
      <c r="L38" s="6">
        <f t="shared" si="2"/>
        <v>64901.909350799979</v>
      </c>
      <c r="M38" s="23"/>
      <c r="N38" s="23">
        <f t="shared" si="4"/>
        <v>917950.38750476763</v>
      </c>
      <c r="O38" s="23">
        <f t="shared" si="3"/>
        <v>973027.41075505363</v>
      </c>
    </row>
    <row r="39" spans="1:15" x14ac:dyDescent="0.3">
      <c r="A39" s="1" t="s">
        <v>36</v>
      </c>
      <c r="B39" s="1"/>
      <c r="C39" s="34" t="s">
        <v>80</v>
      </c>
      <c r="D39" s="34" t="s">
        <v>108</v>
      </c>
      <c r="E39" s="34"/>
      <c r="F39" s="1">
        <v>1.64</v>
      </c>
      <c r="G39" s="24">
        <v>64901.909350799979</v>
      </c>
      <c r="H39" s="29">
        <f>G39</f>
        <v>64901.909350799979</v>
      </c>
      <c r="I39" s="13" t="s">
        <v>123</v>
      </c>
      <c r="J39" s="7">
        <f t="shared" si="0"/>
        <v>0</v>
      </c>
      <c r="K39" s="40">
        <f t="shared" si="1"/>
        <v>0</v>
      </c>
      <c r="L39" s="6">
        <f t="shared" si="2"/>
        <v>64901.909350799979</v>
      </c>
      <c r="M39" s="23"/>
      <c r="N39" s="23">
        <f t="shared" si="4"/>
        <v>64901.909350799979</v>
      </c>
      <c r="O39" s="23">
        <f t="shared" si="3"/>
        <v>68796.02391184798</v>
      </c>
    </row>
    <row r="40" spans="1:15" x14ac:dyDescent="0.3">
      <c r="A40" s="1" t="s">
        <v>36</v>
      </c>
      <c r="B40" s="1"/>
      <c r="C40" s="34" t="s">
        <v>81</v>
      </c>
      <c r="D40" s="34" t="s">
        <v>106</v>
      </c>
      <c r="E40" s="34" t="s">
        <v>153</v>
      </c>
      <c r="F40" s="1">
        <v>1.64</v>
      </c>
      <c r="G40" s="24">
        <v>64901.909350799979</v>
      </c>
      <c r="H40" s="29">
        <f>G40</f>
        <v>64901.909350799979</v>
      </c>
      <c r="I40" s="13" t="s">
        <v>140</v>
      </c>
      <c r="J40" s="7">
        <f t="shared" si="0"/>
        <v>0</v>
      </c>
      <c r="K40" s="40">
        <f t="shared" si="1"/>
        <v>0</v>
      </c>
      <c r="L40" s="6">
        <f t="shared" si="2"/>
        <v>64901.909350799979</v>
      </c>
      <c r="M40" s="23"/>
      <c r="N40" s="23">
        <f t="shared" si="4"/>
        <v>64901.909350799979</v>
      </c>
      <c r="O40" s="23">
        <f t="shared" si="3"/>
        <v>68796.02391184798</v>
      </c>
    </row>
    <row r="41" spans="1:15" x14ac:dyDescent="0.3">
      <c r="A41" s="1" t="s">
        <v>36</v>
      </c>
      <c r="B41" s="1"/>
      <c r="C41" s="34" t="s">
        <v>82</v>
      </c>
      <c r="D41" s="34" t="s">
        <v>109</v>
      </c>
      <c r="E41" s="34"/>
      <c r="F41" s="1">
        <v>1.64</v>
      </c>
      <c r="G41" s="24">
        <v>57332.05713079992</v>
      </c>
      <c r="H41" s="29">
        <v>60772</v>
      </c>
      <c r="I41" s="13" t="s">
        <v>123</v>
      </c>
      <c r="J41" s="7">
        <f t="shared" si="0"/>
        <v>3439.9428692000802</v>
      </c>
      <c r="K41" s="40">
        <f t="shared" si="1"/>
        <v>0</v>
      </c>
      <c r="L41" s="6">
        <f t="shared" si="2"/>
        <v>64901.909350799979</v>
      </c>
      <c r="M41" s="23"/>
      <c r="N41" s="23">
        <f t="shared" si="4"/>
        <v>61461.966481599899</v>
      </c>
      <c r="O41" s="23">
        <f t="shared" si="3"/>
        <v>65149.684470495893</v>
      </c>
    </row>
    <row r="42" spans="1:15" x14ac:dyDescent="0.3">
      <c r="A42" s="1" t="s">
        <v>36</v>
      </c>
      <c r="B42" s="1"/>
      <c r="C42" s="34" t="s">
        <v>83</v>
      </c>
      <c r="D42" s="34" t="s">
        <v>110</v>
      </c>
      <c r="E42" s="34"/>
      <c r="F42" s="1">
        <v>1.64</v>
      </c>
      <c r="G42" s="24">
        <v>129803.81870159997</v>
      </c>
      <c r="H42" s="29"/>
      <c r="I42" s="13" t="s">
        <v>123</v>
      </c>
      <c r="J42" s="7">
        <f t="shared" si="0"/>
        <v>-129803.81870159997</v>
      </c>
      <c r="K42" s="40">
        <f t="shared" si="1"/>
        <v>0</v>
      </c>
      <c r="L42" s="6">
        <f t="shared" si="2"/>
        <v>64901.909350799979</v>
      </c>
      <c r="M42" s="23"/>
      <c r="N42" s="23">
        <f t="shared" si="4"/>
        <v>194705.72805239994</v>
      </c>
      <c r="O42" s="23">
        <f t="shared" si="3"/>
        <v>206388.07173554393</v>
      </c>
    </row>
    <row r="43" spans="1:15" ht="14.25" customHeight="1" x14ac:dyDescent="0.3">
      <c r="A43" s="8"/>
      <c r="B43" s="8"/>
      <c r="C43" s="8"/>
      <c r="D43" s="8"/>
      <c r="E43" s="8"/>
      <c r="F43" s="18">
        <f>SUM(F7:F42)</f>
        <v>100.08999999999999</v>
      </c>
      <c r="G43" s="9">
        <f>SUM(G7:G42)</f>
        <v>8869551.8677408844</v>
      </c>
      <c r="H43" s="9">
        <f>SUM(H7:H42)</f>
        <v>4441477.9122226005</v>
      </c>
      <c r="I43" s="9"/>
      <c r="J43" s="141">
        <f t="shared" ref="J43:O43" si="5">SUM(J7:J42)</f>
        <v>-4428073.955518282</v>
      </c>
      <c r="K43" s="9">
        <f t="shared" si="5"/>
        <v>0</v>
      </c>
      <c r="L43" s="9">
        <f t="shared" si="5"/>
        <v>3960995.1871472988</v>
      </c>
      <c r="M43" s="8">
        <f t="shared" si="5"/>
        <v>0</v>
      </c>
      <c r="N43" s="10">
        <f t="shared" si="5"/>
        <v>8389069.1426655836</v>
      </c>
      <c r="O43" s="9">
        <f t="shared" si="5"/>
        <v>8892413.2912255153</v>
      </c>
    </row>
    <row r="44" spans="1:15" hidden="1" x14ac:dyDescent="0.3">
      <c r="G44" t="s">
        <v>121</v>
      </c>
      <c r="I44">
        <f>SUMIF(I7:I42,"b",H7:H42)</f>
        <v>3730327.6487200996</v>
      </c>
      <c r="L44" s="11"/>
    </row>
    <row r="45" spans="1:15" hidden="1" x14ac:dyDescent="0.3">
      <c r="G45" t="s">
        <v>122</v>
      </c>
      <c r="I45">
        <f>SUMIF(I7:I42,"e",H7:H42)</f>
        <v>711150.2635024999</v>
      </c>
    </row>
    <row r="46" spans="1:15" hidden="1" x14ac:dyDescent="0.3">
      <c r="G46" t="s">
        <v>16</v>
      </c>
      <c r="H46" s="36">
        <f>I44+I45</f>
        <v>4441477.9122225996</v>
      </c>
    </row>
    <row r="49" spans="4:14" x14ac:dyDescent="0.3">
      <c r="D49" s="168" t="s">
        <v>182</v>
      </c>
      <c r="E49" s="168"/>
      <c r="F49" s="168"/>
      <c r="G49" s="168"/>
      <c r="H49" s="168"/>
      <c r="I49" s="168"/>
      <c r="J49" s="168"/>
      <c r="K49" s="168"/>
      <c r="L49" s="168"/>
      <c r="M49" s="168"/>
      <c r="N49" s="168"/>
    </row>
    <row r="50" spans="4:14" x14ac:dyDescent="0.3"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</row>
    <row r="51" spans="4:14" x14ac:dyDescent="0.3"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</row>
    <row r="52" spans="4:14" x14ac:dyDescent="0.3"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</row>
    <row r="53" spans="4:14" x14ac:dyDescent="0.3"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</row>
    <row r="54" spans="4:14" x14ac:dyDescent="0.3"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</row>
  </sheetData>
  <mergeCells count="17">
    <mergeCell ref="A5:A6"/>
    <mergeCell ref="B5:B6"/>
    <mergeCell ref="C5:C6"/>
    <mergeCell ref="D5:D6"/>
    <mergeCell ref="F5:F6"/>
    <mergeCell ref="E5:E6"/>
    <mergeCell ref="D49:N54"/>
    <mergeCell ref="N4:O4"/>
    <mergeCell ref="N3:O3"/>
    <mergeCell ref="G5:G6"/>
    <mergeCell ref="O5:O6"/>
    <mergeCell ref="H5:H6"/>
    <mergeCell ref="J5:J6"/>
    <mergeCell ref="K5:K6"/>
    <mergeCell ref="L5:L6"/>
    <mergeCell ref="M5:M6"/>
    <mergeCell ref="N5:N6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6:O38"/>
  <sheetViews>
    <sheetView topLeftCell="A10" workbookViewId="0">
      <selection activeCell="I33" sqref="I33"/>
    </sheetView>
  </sheetViews>
  <sheetFormatPr baseColWidth="10" defaultRowHeight="14.4" x14ac:dyDescent="0.3"/>
  <sheetData>
    <row r="6" spans="5:13" ht="15" thickBot="1" x14ac:dyDescent="0.35"/>
    <row r="7" spans="5:13" ht="15" thickBot="1" x14ac:dyDescent="0.35">
      <c r="E7" s="190" t="s">
        <v>165</v>
      </c>
      <c r="F7" s="191"/>
      <c r="G7" s="191"/>
      <c r="H7" s="191"/>
      <c r="I7" s="191"/>
      <c r="J7" s="191"/>
      <c r="K7" s="189"/>
      <c r="L7" s="44"/>
      <c r="M7" s="45"/>
    </row>
    <row r="8" spans="5:13" ht="15" thickBot="1" x14ac:dyDescent="0.35">
      <c r="E8" s="192" t="s">
        <v>166</v>
      </c>
      <c r="F8" s="191"/>
      <c r="G8" s="191"/>
      <c r="H8" s="191"/>
      <c r="I8" s="191"/>
      <c r="J8" s="191"/>
      <c r="K8" s="189"/>
      <c r="L8" s="46"/>
      <c r="M8" s="47"/>
    </row>
    <row r="9" spans="5:13" x14ac:dyDescent="0.3">
      <c r="E9" s="44"/>
      <c r="F9" s="48"/>
      <c r="G9" s="48"/>
      <c r="H9" s="48"/>
      <c r="I9" s="49"/>
      <c r="J9" s="49" t="s">
        <v>167</v>
      </c>
      <c r="K9" s="47"/>
      <c r="L9" s="46"/>
      <c r="M9" s="47"/>
    </row>
    <row r="10" spans="5:13" x14ac:dyDescent="0.3">
      <c r="E10" s="46" t="s">
        <v>168</v>
      </c>
      <c r="F10" s="49"/>
      <c r="G10" s="49"/>
      <c r="H10" s="49"/>
      <c r="I10" s="49"/>
      <c r="J10" s="49" t="s">
        <v>169</v>
      </c>
      <c r="K10" s="47"/>
      <c r="L10" s="46"/>
      <c r="M10" s="47"/>
    </row>
    <row r="11" spans="5:13" x14ac:dyDescent="0.3">
      <c r="E11" s="50"/>
      <c r="F11" s="51"/>
      <c r="G11" s="51"/>
      <c r="H11" s="51"/>
      <c r="I11" s="51"/>
      <c r="J11" s="51"/>
      <c r="K11" s="52"/>
      <c r="L11" s="46"/>
      <c r="M11" s="47"/>
    </row>
    <row r="12" spans="5:13" x14ac:dyDescent="0.3">
      <c r="E12" s="193" t="s">
        <v>170</v>
      </c>
      <c r="F12" s="194"/>
      <c r="G12" s="194"/>
      <c r="H12" s="194"/>
      <c r="I12" s="194"/>
      <c r="J12" s="194"/>
      <c r="K12" s="195"/>
      <c r="L12" s="46"/>
      <c r="M12" s="47"/>
    </row>
    <row r="13" spans="5:13" x14ac:dyDescent="0.3">
      <c r="E13" s="46"/>
      <c r="F13" s="49"/>
      <c r="G13" s="49"/>
      <c r="H13" s="49"/>
      <c r="I13" s="49"/>
      <c r="J13" s="49"/>
      <c r="K13" s="47"/>
      <c r="L13" s="46"/>
      <c r="M13" s="47"/>
    </row>
    <row r="14" spans="5:13" x14ac:dyDescent="0.3">
      <c r="E14" s="46" t="s">
        <v>171</v>
      </c>
      <c r="F14" s="49"/>
      <c r="G14" s="49" t="str">
        <f>PRORRATEO!D12</f>
        <v>RAMOS PAMELA</v>
      </c>
      <c r="H14" s="49"/>
      <c r="I14" s="49" t="s">
        <v>172</v>
      </c>
      <c r="J14" s="53">
        <v>45600</v>
      </c>
      <c r="K14" s="47"/>
      <c r="L14" s="183" t="s">
        <v>173</v>
      </c>
      <c r="M14" s="184"/>
    </row>
    <row r="15" spans="5:13" x14ac:dyDescent="0.3">
      <c r="E15" s="46" t="s">
        <v>174</v>
      </c>
      <c r="F15" s="54" t="str">
        <f>PRORRATEO!C12</f>
        <v>2A</v>
      </c>
      <c r="G15" s="49"/>
      <c r="H15" s="49"/>
      <c r="I15" s="49"/>
      <c r="J15" s="49"/>
      <c r="K15" s="47"/>
      <c r="L15" s="46"/>
      <c r="M15" s="47"/>
    </row>
    <row r="16" spans="5:13" x14ac:dyDescent="0.3">
      <c r="E16" s="46"/>
      <c r="F16" s="49"/>
      <c r="G16" s="49"/>
      <c r="H16" s="49"/>
      <c r="I16" s="49"/>
      <c r="J16" s="49"/>
      <c r="K16" s="47"/>
      <c r="L16" s="185"/>
      <c r="M16" s="184"/>
    </row>
    <row r="17" spans="5:15" x14ac:dyDescent="0.3">
      <c r="E17" s="46"/>
      <c r="F17" s="49"/>
      <c r="G17" s="49"/>
      <c r="H17" s="49"/>
      <c r="I17" s="49"/>
      <c r="J17" s="49"/>
      <c r="K17" s="47"/>
      <c r="L17" s="46"/>
      <c r="M17" s="47"/>
    </row>
    <row r="18" spans="5:15" x14ac:dyDescent="0.3">
      <c r="E18" s="46"/>
      <c r="F18" s="49"/>
      <c r="G18" s="49"/>
      <c r="H18" s="49"/>
      <c r="I18" s="49"/>
      <c r="J18" s="49"/>
      <c r="K18" s="47"/>
      <c r="L18" s="46"/>
      <c r="M18" s="47"/>
    </row>
    <row r="19" spans="5:15" ht="15" thickBot="1" x14ac:dyDescent="0.35">
      <c r="E19" s="46"/>
      <c r="F19" s="49"/>
      <c r="G19" s="49"/>
      <c r="H19" s="49"/>
      <c r="I19" s="49"/>
      <c r="J19" s="49"/>
      <c r="K19" s="47"/>
      <c r="L19" s="55"/>
      <c r="M19" s="56"/>
    </row>
    <row r="20" spans="5:15" ht="15" thickBot="1" x14ac:dyDescent="0.35">
      <c r="E20" s="186" t="s">
        <v>175</v>
      </c>
      <c r="F20" s="187"/>
      <c r="G20" s="187"/>
      <c r="H20" s="187"/>
      <c r="I20" s="187"/>
      <c r="J20" s="188">
        <f>PRORRATEO!H12</f>
        <v>131782.53545009997</v>
      </c>
      <c r="K20" s="189"/>
      <c r="L20" s="57"/>
      <c r="M20" s="58"/>
    </row>
    <row r="24" spans="5:15" ht="15" thickBot="1" x14ac:dyDescent="0.35"/>
    <row r="25" spans="5:15" ht="15" thickBot="1" x14ac:dyDescent="0.35">
      <c r="G25" s="190" t="s">
        <v>165</v>
      </c>
      <c r="H25" s="191"/>
      <c r="I25" s="191"/>
      <c r="J25" s="191"/>
      <c r="K25" s="191"/>
      <c r="L25" s="191"/>
      <c r="M25" s="189"/>
      <c r="N25" s="44"/>
      <c r="O25" s="45"/>
    </row>
    <row r="26" spans="5:15" ht="15" thickBot="1" x14ac:dyDescent="0.35">
      <c r="G26" s="192" t="s">
        <v>166</v>
      </c>
      <c r="H26" s="191"/>
      <c r="I26" s="191"/>
      <c r="J26" s="191"/>
      <c r="K26" s="191"/>
      <c r="L26" s="191"/>
      <c r="M26" s="189"/>
      <c r="N26" s="46"/>
      <c r="O26" s="47"/>
    </row>
    <row r="27" spans="5:15" x14ac:dyDescent="0.3">
      <c r="G27" s="44"/>
      <c r="H27" s="48"/>
      <c r="I27" s="48"/>
      <c r="J27" s="48"/>
      <c r="K27" s="49"/>
      <c r="L27" s="49" t="s">
        <v>167</v>
      </c>
      <c r="M27" s="47"/>
      <c r="N27" s="46"/>
      <c r="O27" s="47"/>
    </row>
    <row r="28" spans="5:15" x14ac:dyDescent="0.3">
      <c r="G28" s="46" t="s">
        <v>168</v>
      </c>
      <c r="H28" s="49"/>
      <c r="I28" s="49"/>
      <c r="J28" s="49"/>
      <c r="K28" s="49"/>
      <c r="L28" s="49" t="s">
        <v>169</v>
      </c>
      <c r="M28" s="47"/>
      <c r="N28" s="46"/>
      <c r="O28" s="47"/>
    </row>
    <row r="29" spans="5:15" x14ac:dyDescent="0.3">
      <c r="G29" s="50"/>
      <c r="H29" s="51"/>
      <c r="I29" s="51"/>
      <c r="J29" s="51"/>
      <c r="K29" s="51"/>
      <c r="L29" s="51"/>
      <c r="M29" s="52"/>
      <c r="N29" s="46"/>
      <c r="O29" s="47"/>
    </row>
    <row r="30" spans="5:15" x14ac:dyDescent="0.3">
      <c r="G30" s="193" t="s">
        <v>170</v>
      </c>
      <c r="H30" s="194"/>
      <c r="I30" s="194"/>
      <c r="J30" s="194"/>
      <c r="K30" s="194"/>
      <c r="L30" s="194"/>
      <c r="M30" s="195"/>
      <c r="N30" s="46"/>
      <c r="O30" s="47"/>
    </row>
    <row r="31" spans="5:15" x14ac:dyDescent="0.3">
      <c r="G31" s="46"/>
      <c r="H31" s="49"/>
      <c r="I31" s="49"/>
      <c r="J31" s="49"/>
      <c r="K31" s="49"/>
      <c r="L31" s="49"/>
      <c r="M31" s="47"/>
      <c r="N31" s="46"/>
      <c r="O31" s="47"/>
    </row>
    <row r="32" spans="5:15" x14ac:dyDescent="0.3">
      <c r="G32" s="46" t="s">
        <v>171</v>
      </c>
      <c r="H32" s="49"/>
      <c r="I32" s="49"/>
      <c r="J32" s="49"/>
      <c r="K32" s="49" t="s">
        <v>172</v>
      </c>
      <c r="L32" s="53">
        <v>45600</v>
      </c>
      <c r="M32" s="47"/>
      <c r="N32" s="183" t="s">
        <v>173</v>
      </c>
      <c r="O32" s="184"/>
    </row>
    <row r="33" spans="7:15" x14ac:dyDescent="0.3">
      <c r="G33" s="46" t="s">
        <v>174</v>
      </c>
      <c r="H33" s="54" t="str">
        <f>PRORRATEO!E30</f>
        <v>Nelida</v>
      </c>
      <c r="I33" s="49"/>
      <c r="J33" s="49"/>
      <c r="K33" s="49"/>
      <c r="L33" s="49"/>
      <c r="M33" s="47"/>
      <c r="N33" s="46"/>
      <c r="O33" s="47"/>
    </row>
    <row r="34" spans="7:15" x14ac:dyDescent="0.3">
      <c r="G34" s="46"/>
      <c r="H34" s="49"/>
      <c r="I34" s="49"/>
      <c r="J34" s="49"/>
      <c r="K34" s="49"/>
      <c r="L34" s="49"/>
      <c r="M34" s="47"/>
      <c r="N34" s="185"/>
      <c r="O34" s="184"/>
    </row>
    <row r="35" spans="7:15" x14ac:dyDescent="0.3">
      <c r="G35" s="46"/>
      <c r="H35" s="49"/>
      <c r="I35" s="49"/>
      <c r="J35" s="49"/>
      <c r="K35" s="49"/>
      <c r="L35" s="49"/>
      <c r="M35" s="47"/>
      <c r="N35" s="46"/>
      <c r="O35" s="47"/>
    </row>
    <row r="36" spans="7:15" x14ac:dyDescent="0.3">
      <c r="G36" s="46"/>
      <c r="H36" s="49"/>
      <c r="I36" s="49"/>
      <c r="J36" s="49"/>
      <c r="K36" s="49"/>
      <c r="L36" s="49"/>
      <c r="M36" s="47"/>
      <c r="N36" s="46"/>
      <c r="O36" s="47"/>
    </row>
    <row r="37" spans="7:15" ht="15" thickBot="1" x14ac:dyDescent="0.35">
      <c r="G37" s="46"/>
      <c r="H37" s="49"/>
      <c r="I37" s="49"/>
      <c r="J37" s="49"/>
      <c r="K37" s="49"/>
      <c r="L37" s="49"/>
      <c r="M37" s="47"/>
      <c r="N37" s="55"/>
      <c r="O37" s="56"/>
    </row>
    <row r="38" spans="7:15" ht="15" thickBot="1" x14ac:dyDescent="0.35">
      <c r="G38" s="186" t="s">
        <v>175</v>
      </c>
      <c r="H38" s="187"/>
      <c r="I38" s="187"/>
      <c r="J38" s="187"/>
      <c r="K38" s="187"/>
      <c r="L38" s="188">
        <f>PRORRATEO!J30</f>
        <v>0</v>
      </c>
      <c r="M38" s="189"/>
      <c r="N38" s="57"/>
      <c r="O38" s="58"/>
    </row>
  </sheetData>
  <mergeCells count="14">
    <mergeCell ref="N32:O32"/>
    <mergeCell ref="N34:O34"/>
    <mergeCell ref="G38:K38"/>
    <mergeCell ref="L38:M38"/>
    <mergeCell ref="E7:K7"/>
    <mergeCell ref="E8:K8"/>
    <mergeCell ref="E12:K12"/>
    <mergeCell ref="L14:M14"/>
    <mergeCell ref="L16:M16"/>
    <mergeCell ref="E20:I20"/>
    <mergeCell ref="J20:K20"/>
    <mergeCell ref="G25:M25"/>
    <mergeCell ref="G26:M26"/>
    <mergeCell ref="G30:M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RESUMEN</vt:lpstr>
      <vt:lpstr>PRORRATEO</vt:lpstr>
      <vt:lpstr>Recibo </vt:lpstr>
      <vt:lpstr>PRORRATEO!Área_de_impresión</vt:lpstr>
      <vt:lpstr>'Recibo '!Área_de_impresión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</cp:lastModifiedBy>
  <cp:lastPrinted>2025-05-02T16:11:32Z</cp:lastPrinted>
  <dcterms:created xsi:type="dcterms:W3CDTF">2023-09-17T12:29:07Z</dcterms:created>
  <dcterms:modified xsi:type="dcterms:W3CDTF">2025-05-20T14:23:55Z</dcterms:modified>
</cp:coreProperties>
</file>