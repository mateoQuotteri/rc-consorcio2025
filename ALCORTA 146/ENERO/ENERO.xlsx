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915" windowHeight="5970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RESUMEN!$A$1:$E$142</definedName>
  </definedNames>
  <calcPr calcId="144525"/>
</workbook>
</file>

<file path=xl/calcChain.xml><?xml version="1.0" encoding="utf-8"?>
<calcChain xmlns="http://schemas.openxmlformats.org/spreadsheetml/2006/main">
  <c r="H11" i="2" l="1"/>
  <c r="B133" i="1" l="1"/>
  <c r="D44" i="1"/>
  <c r="B132" i="1" s="1"/>
  <c r="D90" i="1"/>
  <c r="H30" i="2"/>
  <c r="H19" i="2"/>
  <c r="H21" i="2"/>
  <c r="H23" i="2"/>
  <c r="H18" i="2"/>
  <c r="H25" i="2"/>
  <c r="H12" i="2"/>
  <c r="H7" i="2"/>
  <c r="E88" i="1" l="1"/>
  <c r="E75" i="1"/>
  <c r="E60" i="1"/>
  <c r="E50" i="1"/>
  <c r="E46" i="1"/>
  <c r="E37" i="1"/>
  <c r="E41" i="1"/>
  <c r="G39" i="1" s="1"/>
  <c r="E93" i="1" l="1"/>
  <c r="E97" i="1" s="1"/>
  <c r="H33" i="3" l="1"/>
  <c r="H32" i="2" l="1"/>
  <c r="H26" i="2"/>
  <c r="J20" i="3"/>
  <c r="F15" i="3"/>
  <c r="G14" i="3"/>
  <c r="B121" i="1" l="1"/>
  <c r="H33" i="2"/>
  <c r="H14" i="2" l="1"/>
  <c r="H35" i="2" l="1"/>
  <c r="H17" i="2"/>
  <c r="N3" i="2" l="1"/>
  <c r="A55" i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104" i="1"/>
  <c r="B110" i="1" s="1"/>
  <c r="B111" i="1" l="1"/>
  <c r="H9" i="2" l="1"/>
  <c r="H40" i="2" l="1"/>
  <c r="J21" i="2" l="1"/>
  <c r="A56" i="1" l="1"/>
  <c r="C141" i="1" l="1"/>
  <c r="B122" i="1" s="1"/>
  <c r="H36" i="2"/>
  <c r="C55" i="1" l="1"/>
  <c r="C56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31" i="1" s="1"/>
  <c r="H39" i="2"/>
  <c r="J39" i="2" s="1"/>
  <c r="H37" i="2"/>
  <c r="J37" i="2" s="1"/>
  <c r="J36" i="2"/>
  <c r="J19" i="2"/>
  <c r="J30" i="2"/>
  <c r="L38" i="3" s="1"/>
  <c r="H28" i="2"/>
  <c r="J28" i="2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J43" i="2" l="1"/>
  <c r="N11" i="2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109" i="1" l="1"/>
  <c r="B134" i="1"/>
  <c r="O25" i="2"/>
  <c r="O14" i="2"/>
  <c r="O12" i="2"/>
  <c r="O22" i="2"/>
  <c r="O33" i="2"/>
  <c r="O40" i="2"/>
  <c r="O42" i="2"/>
  <c r="B112" i="1" l="1"/>
  <c r="B124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108" i="1" l="1"/>
  <c r="H43" i="2"/>
  <c r="J18" i="2"/>
  <c r="N18" i="2" s="1"/>
  <c r="N43" i="2" s="1"/>
  <c r="I44" i="2"/>
  <c r="H46" i="2" s="1"/>
  <c r="O18" i="2" l="1"/>
  <c r="O43" i="2" s="1"/>
  <c r="B119" i="1"/>
  <c r="B125" i="1" s="1"/>
</calcChain>
</file>

<file path=xl/sharedStrings.xml><?xml version="1.0" encoding="utf-8"?>
<sst xmlns="http://schemas.openxmlformats.org/spreadsheetml/2006/main" count="297" uniqueCount="215">
  <si>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</si>
  <si>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</si>
  <si>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</si>
  <si>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</si>
  <si>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</si>
  <si>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</si>
  <si>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</si>
  <si>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</si>
  <si>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</si>
  <si>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</si>
  <si>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</si>
  <si>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</si>
  <si>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</si>
  <si>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</si>
  <si>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</si>
  <si>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</si>
  <si>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</si>
  <si>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</si>
  <si>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</si>
  <si>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</si>
  <si>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</si>
  <si>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</si>
  <si>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</si>
  <si>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</si>
  <si>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</si>
  <si>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</si>
  <si>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</si>
  <si>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</si>
  <si>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</si>
  <si>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</si>
  <si>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</si>
  <si>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</si>
  <si>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</si>
  <si>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</si>
  <si>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</si>
  <si>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</si>
  <si>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</si>
  <si>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</si>
  <si>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</si>
  <si>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</si>
  <si>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</si>
  <si>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</si>
  <si>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</si>
  <si>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</si>
  <si>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</si>
  <si>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</si>
  <si>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</si>
  <si>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</si>
  <si>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</si>
  <si>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</si>
  <si>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</si>
  <si>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</si>
  <si>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</si>
  <si>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</si>
  <si>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</si>
  <si>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</si>
  <si>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</si>
  <si>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</si>
  <si>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</si>
  <si>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</si>
  <si>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</si>
  <si>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</si>
  <si>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</si>
  <si>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</si>
  <si>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</si>
  <si>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</si>
  <si>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</si>
  <si>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</si>
  <si>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</si>
  <si>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</si>
  <si>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</si>
  <si>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</si>
  <si>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</si>
  <si>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</si>
  <si>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</si>
  <si>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</si>
  <si>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</si>
  <si>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</si>
  <si>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</si>
  <si>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</si>
  <si>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</si>
  <si>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</si>
  <si>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</si>
  <si>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</si>
  <si>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</si>
  <si>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</si>
  <si>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</si>
  <si>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</si>
  <si>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</si>
  <si>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</si>
  <si>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</si>
  <si>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</si>
  <si>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</si>
  <si>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</si>
  <si>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</si>
  <si>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</si>
  <si>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</si>
  <si>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</si>
  <si>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</si>
  <si>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</si>
  <si>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</si>
  <si>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</si>
  <si>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</si>
  <si>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</si>
  <si>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</si>
  <si>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</si>
  <si>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R DE FIORE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</si>
  <si>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</si>
  <si>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</si>
  <si>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</si>
  <si>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</si>
  <si>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</si>
  <si>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</si>
  <si>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</si>
  <si>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</si>
  <si>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</si>
  <si>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</si>
  <si>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</si>
  <si>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</si>
  <si>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</si>
  <si>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</si>
  <si>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</si>
  <si>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</si>
  <si>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</si>
  <si>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</si>
  <si>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</si>
  <si>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</si>
  <si>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</si>
  <si>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</si>
  <si>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</si>
  <si>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</si>
  <si>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</si>
  <si>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</si>
  <si>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</si>
  <si>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</si>
  <si>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</si>
  <si>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</si>
  <si>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Angelina</t>
  </si>
  <si>
    <t>Nelida</t>
  </si>
  <si>
    <t>Claudio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</si>
  <si>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</si>
  <si>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</si>
  <si>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</si>
  <si>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</si>
  <si>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</si>
  <si>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</si>
  <si>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</si>
  <si>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Ortiz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</si>
  <si>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</si>
  <si>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</si>
  <si>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</si>
  <si>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</si>
  <si>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</si>
  <si>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</si>
  <si>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</si>
  <si>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</si>
  <si>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</si>
  <si>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</si>
  <si>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</si>
  <si>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</si>
  <si>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</si>
  <si>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</si>
  <si>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</si>
  <si>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</si>
  <si>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</si>
  <si>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</si>
  <si>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MAFRE Seguro de vida colectivo retroactivo 2024</t>
  </si>
  <si>
    <t>Mercantil andina - Poliza nro. 001169864</t>
  </si>
  <si>
    <t xml:space="preserve">PREVISION EXTRAORDINARIA </t>
  </si>
  <si>
    <t>PAGOS NO IDENTIFICADOS</t>
  </si>
  <si>
    <t>Pago no identificado</t>
  </si>
  <si>
    <t xml:space="preserve">Punitorios mal cobrados </t>
  </si>
  <si>
    <t>Deposito en cuenta bancaria</t>
  </si>
  <si>
    <t>Deposito en efectivo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</si>
  <si>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</si>
  <si>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</si>
  <si>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</si>
  <si>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</si>
  <si>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</si>
  <si>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</si>
  <si>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</si>
  <si>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</si>
  <si>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</si>
  <si>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</si>
  <si>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</si>
  <si>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</si>
  <si>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 xml:space="preserve">PREVISION ORDINARIA </t>
  </si>
  <si>
    <t>No se abona por falta de caja</t>
  </si>
  <si>
    <t>ALIAS: EGECUTE.DEHESA.FOCO,</t>
  </si>
  <si>
    <t>CBU: 2850939030007264271000</t>
  </si>
  <si>
    <t>CUENTA CORRIENTE EN PESOS: MACRO     SUCURSAL:939    CUENTA BANCARIA NRO. 393900726427100</t>
  </si>
  <si>
    <t>PERÍODO: ENERO</t>
  </si>
  <si>
    <t>Mes de ENERO</t>
  </si>
  <si>
    <t>Sindicatos periodo ENERO</t>
  </si>
  <si>
    <t xml:space="preserve">AYSA  - Mes de ENERO </t>
  </si>
  <si>
    <t>Metrogas ENERO</t>
  </si>
  <si>
    <t>Mes diciembre</t>
  </si>
  <si>
    <t>Debito 13/01</t>
  </si>
  <si>
    <t xml:space="preserve">Articulos de limpieza </t>
  </si>
  <si>
    <t>VTO : 13/02</t>
  </si>
  <si>
    <t>Cuota 1</t>
  </si>
  <si>
    <t>Mantenimiento ascensores</t>
  </si>
  <si>
    <t>Se debe DICIEMBRE</t>
  </si>
  <si>
    <t>Desobstruccion de ramal en cocina y baño en uf 3D</t>
  </si>
  <si>
    <t>Fumigacion - Diciembre y enero</t>
  </si>
  <si>
    <t>MAFRE Seguro de vida colectivo retroactivo 2025</t>
  </si>
  <si>
    <t>ARCA MES DE diciembre</t>
  </si>
  <si>
    <t>ARCA Plan de pagos Debito automatico</t>
  </si>
  <si>
    <t>Tranf 29/1</t>
  </si>
  <si>
    <t>Doartero - Mano de obra y materiales cambio de vastagos en llaves de paso</t>
  </si>
  <si>
    <t>Doartero - Arreglo desague inodoro</t>
  </si>
  <si>
    <t>Aumentados en enero</t>
  </si>
  <si>
    <t>Transf no identificada 3/01</t>
  </si>
  <si>
    <t>Transf no identificada 8/01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</si>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</sst>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0" borderId="0" xfId="0"/>
    <xf numFmtId="8" fontId="0" fillId="0" borderId="0" xfId="0" applyNumberFormat="1"/>
    <xf numFmtId="0" fontId="0" fillId="0" borderId="1" xfId="0" applyFill="1" applyBorder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44" fontId="2" fillId="0" borderId="1" xfId="1" applyNumberFormat="1" applyFont="1" applyBorder="1"/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3" fillId="2" borderId="1" xfId="1" applyFont="1" applyFill="1" applyBorder="1" applyAlignment="1">
      <alignment wrapText="1"/>
    </xf>
    <xf numFmtId="0" fontId="10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0" fillId="0" borderId="0" xfId="0" applyFont="1" applyAlignment="1"/>
    <xf numFmtId="0" fontId="14" fillId="0" borderId="34" xfId="0" applyFont="1" applyBorder="1" applyAlignment="1"/>
    <xf numFmtId="0" fontId="14" fillId="0" borderId="35" xfId="0" applyFont="1" applyBorder="1" applyAlignment="1"/>
    <xf numFmtId="0" fontId="14" fillId="0" borderId="36" xfId="0" applyFont="1" applyBorder="1" applyAlignment="1"/>
    <xf numFmtId="0" fontId="14" fillId="0" borderId="37" xfId="0" applyFont="1" applyBorder="1" applyAlignment="1"/>
    <xf numFmtId="0" fontId="14" fillId="0" borderId="38" xfId="0" applyFont="1" applyBorder="1" applyAlignment="1"/>
    <xf numFmtId="0" fontId="14" fillId="0" borderId="0" xfId="0" applyFont="1" applyAlignment="1"/>
    <xf numFmtId="0" fontId="14" fillId="0" borderId="37" xfId="0" applyFont="1" applyBorder="1"/>
    <xf numFmtId="0" fontId="14" fillId="0" borderId="39" xfId="0" applyFont="1" applyBorder="1" applyAlignment="1"/>
    <xf numFmtId="0" fontId="14" fillId="0" borderId="40" xfId="0" applyFont="1" applyBorder="1" applyAlignment="1"/>
    <xf numFmtId="0" fontId="14" fillId="0" borderId="41" xfId="0" applyFont="1" applyBorder="1" applyAlignment="1"/>
    <xf numFmtId="166" fontId="14" fillId="2" borderId="0" xfId="0" applyNumberFormat="1" applyFont="1" applyFill="1" applyAlignment="1"/>
    <xf numFmtId="1" fontId="14" fillId="0" borderId="0" xfId="0" applyNumberFormat="1" applyFont="1" applyAlignment="1"/>
    <xf numFmtId="0" fontId="14" fillId="0" borderId="45" xfId="0" applyFont="1" applyBorder="1" applyAlignment="1"/>
    <xf numFmtId="0" fontId="14" fillId="0" borderId="46" xfId="0" applyFont="1" applyBorder="1" applyAlignment="1"/>
    <xf numFmtId="0" fontId="14" fillId="0" borderId="47" xfId="0" applyFont="1" applyBorder="1" applyAlignment="1"/>
    <xf numFmtId="0" fontId="14" fillId="0" borderId="49" xfId="0" applyFont="1" applyBorder="1" applyAlignment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 applyBorder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9" borderId="1" xfId="0" applyNumberFormat="1" applyFont="1" applyFill="1" applyBorder="1"/>
    <xf numFmtId="8" fontId="2" fillId="9" borderId="6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7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0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wrapText="1"/>
    </xf>
    <xf numFmtId="44" fontId="3" fillId="0" borderId="0" xfId="0" applyNumberFormat="1" applyFont="1"/>
    <xf numFmtId="0" fontId="3" fillId="0" borderId="0" xfId="0" applyFo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44" fontId="3" fillId="2" borderId="1" xfId="1" applyNumberFormat="1" applyFont="1" applyFill="1" applyBorder="1"/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44" fontId="2" fillId="0" borderId="0" xfId="1" applyFont="1" applyAlignment="1">
      <alignment horizontal="right"/>
    </xf>
    <xf numFmtId="44" fontId="2" fillId="2" borderId="1" xfId="1" applyFont="1" applyFill="1" applyBorder="1" applyAlignment="1">
      <alignment horizontal="right"/>
    </xf>
    <xf numFmtId="165" fontId="10" fillId="7" borderId="1" xfId="0" applyNumberFormat="1" applyFont="1" applyFill="1" applyBorder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 applyAlignment="1"/>
    <xf numFmtId="0" fontId="14" fillId="0" borderId="47" xfId="0" applyFont="1" applyBorder="1" applyAlignment="1"/>
    <xf numFmtId="0" fontId="13" fillId="0" borderId="48" xfId="0" applyFont="1" applyBorder="1"/>
    <xf numFmtId="167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0" fontId="18" fillId="9" borderId="0" xfId="0" applyFont="1" applyFill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topLeftCell="A128" workbookViewId="0">
      <selection activeCell="B133" sqref="B133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66"/>
      <c r="B1" s="67" t="s">
        <v>158</v>
      </c>
      <c r="C1" s="66"/>
      <c r="D1" s="66"/>
      <c r="E1" s="66"/>
    </row>
    <row r="2" spans="1:5" ht="30" x14ac:dyDescent="0.25">
      <c r="A2" s="68"/>
      <c r="B2" s="69" t="s">
        <v>153</v>
      </c>
      <c r="C2" s="70"/>
      <c r="D2" s="70"/>
      <c r="E2" s="71"/>
    </row>
    <row r="3" spans="1:5" x14ac:dyDescent="0.25">
      <c r="A3" s="72"/>
      <c r="B3" s="73" t="s">
        <v>48</v>
      </c>
      <c r="C3" s="73"/>
      <c r="D3" s="73"/>
      <c r="E3" s="74"/>
    </row>
    <row r="4" spans="1:5" ht="15" customHeight="1" x14ac:dyDescent="0.25">
      <c r="A4" s="72"/>
      <c r="B4" s="73" t="s">
        <v>189</v>
      </c>
      <c r="C4" s="73" t="s">
        <v>188</v>
      </c>
      <c r="D4" s="73"/>
      <c r="E4" s="74"/>
    </row>
    <row r="5" spans="1:5" s="6" customFormat="1" ht="15" customHeight="1" thickBot="1" x14ac:dyDescent="0.3">
      <c r="A5" s="72"/>
      <c r="B5" s="73" t="s">
        <v>190</v>
      </c>
      <c r="C5" s="73"/>
      <c r="D5" s="73"/>
      <c r="E5" s="74"/>
    </row>
    <row r="6" spans="1:5" ht="15.75" thickBot="1" x14ac:dyDescent="0.3">
      <c r="A6" s="75" t="s">
        <v>0</v>
      </c>
      <c r="B6" s="76" t="s">
        <v>191</v>
      </c>
      <c r="C6" s="76"/>
      <c r="D6" s="76" t="s">
        <v>149</v>
      </c>
      <c r="E6" s="77"/>
    </row>
    <row r="7" spans="1:5" ht="15.75" thickBot="1" x14ac:dyDescent="0.3">
      <c r="A7" s="72"/>
      <c r="B7" s="73"/>
      <c r="C7" s="73"/>
      <c r="D7" s="73"/>
      <c r="E7" s="74"/>
    </row>
    <row r="8" spans="1:5" ht="15.75" thickBot="1" x14ac:dyDescent="0.3">
      <c r="A8" s="75" t="s">
        <v>47</v>
      </c>
      <c r="B8" s="76"/>
      <c r="C8" s="76"/>
      <c r="D8" s="76"/>
      <c r="E8" s="77"/>
    </row>
    <row r="9" spans="1:5" x14ac:dyDescent="0.25">
      <c r="A9" s="78"/>
      <c r="B9" s="78"/>
      <c r="C9" s="78"/>
      <c r="D9" s="78"/>
      <c r="E9" s="78"/>
    </row>
    <row r="10" spans="1:5" hidden="1" x14ac:dyDescent="0.25">
      <c r="A10" s="78"/>
      <c r="B10" s="78"/>
      <c r="C10" s="78"/>
      <c r="D10" s="78"/>
      <c r="E10" s="78"/>
    </row>
    <row r="11" spans="1:5" hidden="1" x14ac:dyDescent="0.25">
      <c r="A11" s="78"/>
      <c r="B11" s="78"/>
      <c r="C11" s="78"/>
      <c r="D11" s="78"/>
      <c r="E11" s="78"/>
    </row>
    <row r="12" spans="1:5" hidden="1" x14ac:dyDescent="0.25">
      <c r="A12" s="78"/>
      <c r="B12" s="78"/>
      <c r="C12" s="78"/>
      <c r="D12" s="78"/>
      <c r="E12" s="78"/>
    </row>
    <row r="13" spans="1:5" hidden="1" x14ac:dyDescent="0.25">
      <c r="A13" s="78"/>
      <c r="B13" s="78"/>
      <c r="C13" s="78"/>
      <c r="D13" s="78"/>
      <c r="E13" s="78"/>
    </row>
    <row r="14" spans="1:5" x14ac:dyDescent="0.25">
      <c r="A14" s="78"/>
      <c r="B14" s="78"/>
      <c r="C14" s="78"/>
      <c r="D14" s="78"/>
      <c r="E14" s="78"/>
    </row>
    <row r="15" spans="1:5" ht="15" customHeight="1" x14ac:dyDescent="0.25">
      <c r="A15" s="157" t="s">
        <v>199</v>
      </c>
      <c r="B15" s="157"/>
      <c r="C15" s="157"/>
      <c r="D15" s="157"/>
      <c r="E15" s="157"/>
    </row>
    <row r="16" spans="1:5" ht="15" customHeight="1" x14ac:dyDescent="0.25">
      <c r="A16" s="157"/>
      <c r="B16" s="157"/>
      <c r="C16" s="157"/>
      <c r="D16" s="157"/>
      <c r="E16" s="157"/>
    </row>
    <row r="17" spans="1:5" ht="15" customHeight="1" x14ac:dyDescent="0.25">
      <c r="A17" s="157"/>
      <c r="B17" s="157"/>
      <c r="C17" s="157"/>
      <c r="D17" s="157"/>
      <c r="E17" s="157"/>
    </row>
    <row r="18" spans="1:5" ht="15" customHeight="1" x14ac:dyDescent="0.25">
      <c r="A18" s="157"/>
      <c r="B18" s="157"/>
      <c r="C18" s="157"/>
      <c r="D18" s="157"/>
      <c r="E18" s="157"/>
    </row>
    <row r="19" spans="1:5" ht="14.25" customHeight="1" x14ac:dyDescent="0.25">
      <c r="A19" s="78"/>
      <c r="B19" s="78"/>
      <c r="C19" s="78"/>
      <c r="D19" s="78"/>
      <c r="E19" s="78"/>
    </row>
    <row r="20" spans="1:5" s="6" customFormat="1" hidden="1" x14ac:dyDescent="0.25">
      <c r="A20" s="78"/>
      <c r="B20" s="78"/>
      <c r="C20" s="78"/>
      <c r="D20" s="78"/>
      <c r="E20" s="78"/>
    </row>
    <row r="21" spans="1:5" s="6" customFormat="1" ht="12" customHeight="1" x14ac:dyDescent="0.25">
      <c r="A21" s="78"/>
      <c r="B21" s="78"/>
      <c r="C21" s="78"/>
      <c r="D21" s="78"/>
      <c r="E21" s="78"/>
    </row>
    <row r="22" spans="1:5" s="6" customFormat="1" ht="0.75" hidden="1" customHeight="1" x14ac:dyDescent="0.25">
      <c r="A22" s="158"/>
      <c r="B22" s="159"/>
      <c r="C22" s="159"/>
      <c r="D22" s="159"/>
      <c r="E22" s="159"/>
    </row>
    <row r="23" spans="1:5" s="6" customFormat="1" hidden="1" x14ac:dyDescent="0.25">
      <c r="A23" s="159"/>
      <c r="B23" s="159"/>
      <c r="C23" s="159"/>
      <c r="D23" s="159"/>
      <c r="E23" s="159"/>
    </row>
    <row r="24" spans="1:5" s="6" customFormat="1" hidden="1" x14ac:dyDescent="0.25">
      <c r="A24" s="159"/>
      <c r="B24" s="159"/>
      <c r="C24" s="159"/>
      <c r="D24" s="159"/>
      <c r="E24" s="159"/>
    </row>
    <row r="25" spans="1:5" s="6" customFormat="1" hidden="1" x14ac:dyDescent="0.25">
      <c r="A25" s="159"/>
      <c r="B25" s="159"/>
      <c r="C25" s="159"/>
      <c r="D25" s="159"/>
      <c r="E25" s="159"/>
    </row>
    <row r="26" spans="1:5" hidden="1" x14ac:dyDescent="0.25">
      <c r="A26" s="159"/>
      <c r="B26" s="159"/>
      <c r="C26" s="159"/>
      <c r="D26" s="159"/>
      <c r="E26" s="159"/>
    </row>
    <row r="27" spans="1:5" ht="15.75" thickBot="1" x14ac:dyDescent="0.3">
      <c r="A27" s="78"/>
      <c r="B27" s="78"/>
      <c r="C27" s="78"/>
      <c r="D27" s="78"/>
      <c r="E27" s="78"/>
    </row>
    <row r="28" spans="1:5" x14ac:dyDescent="0.25">
      <c r="A28" s="79" t="s">
        <v>34</v>
      </c>
      <c r="B28" s="80"/>
      <c r="C28" s="81"/>
      <c r="D28" s="82"/>
      <c r="E28" s="83"/>
    </row>
    <row r="29" spans="1:5" x14ac:dyDescent="0.25">
      <c r="A29" s="22" t="s">
        <v>119</v>
      </c>
      <c r="B29" s="22"/>
      <c r="C29" s="22"/>
      <c r="D29" s="22"/>
      <c r="E29" s="22"/>
    </row>
    <row r="30" spans="1:5" x14ac:dyDescent="0.25">
      <c r="A30" s="84" t="s">
        <v>113</v>
      </c>
      <c r="B30" s="85" t="s">
        <v>128</v>
      </c>
      <c r="C30" s="85" t="s">
        <v>196</v>
      </c>
      <c r="D30" s="86">
        <v>1496063.3</v>
      </c>
      <c r="E30" s="85"/>
    </row>
    <row r="31" spans="1:5" x14ac:dyDescent="0.25">
      <c r="A31" s="84"/>
      <c r="B31" s="85" t="s">
        <v>114</v>
      </c>
      <c r="C31" s="85"/>
      <c r="D31" s="86">
        <v>-325393.76</v>
      </c>
      <c r="E31" s="85"/>
    </row>
    <row r="32" spans="1:5" x14ac:dyDescent="0.25">
      <c r="A32" s="84"/>
      <c r="B32" s="85" t="s">
        <v>150</v>
      </c>
      <c r="C32" s="85"/>
      <c r="D32" s="86">
        <v>0.46</v>
      </c>
      <c r="E32" s="85"/>
    </row>
    <row r="33" spans="1:7" s="6" customFormat="1" hidden="1" x14ac:dyDescent="0.25">
      <c r="A33" s="84"/>
      <c r="B33" s="85"/>
      <c r="C33" s="85"/>
      <c r="D33" s="87"/>
      <c r="E33" s="85"/>
    </row>
    <row r="34" spans="1:7" hidden="1" x14ac:dyDescent="0.25">
      <c r="A34" s="85"/>
      <c r="B34" s="85"/>
      <c r="C34" s="85"/>
      <c r="D34" s="87"/>
      <c r="E34" s="85"/>
    </row>
    <row r="35" spans="1:7" s="6" customFormat="1" hidden="1" x14ac:dyDescent="0.25">
      <c r="A35" s="85"/>
      <c r="B35" s="85"/>
      <c r="C35" s="85"/>
      <c r="D35" s="88"/>
      <c r="E35" s="85"/>
    </row>
    <row r="36" spans="1:7" hidden="1" x14ac:dyDescent="0.25">
      <c r="A36" s="85"/>
      <c r="B36" s="85"/>
      <c r="C36" s="85"/>
      <c r="D36" s="88"/>
      <c r="E36" s="85"/>
    </row>
    <row r="37" spans="1:7" s="6" customFormat="1" ht="15.75" thickBot="1" x14ac:dyDescent="0.3">
      <c r="A37" s="23" t="s">
        <v>1</v>
      </c>
      <c r="B37" s="43"/>
      <c r="C37" s="43"/>
      <c r="D37" s="89"/>
      <c r="E37" s="90">
        <f>SUM(D27:D34)</f>
        <v>1170670</v>
      </c>
    </row>
    <row r="38" spans="1:7" s="6" customFormat="1" hidden="1" x14ac:dyDescent="0.25">
      <c r="A38" s="85" t="s">
        <v>161</v>
      </c>
      <c r="B38" s="85"/>
      <c r="C38" s="85"/>
      <c r="D38" s="86"/>
      <c r="E38" s="85"/>
      <c r="G38" s="6">
        <v>235611</v>
      </c>
    </row>
    <row r="39" spans="1:7" s="6" customFormat="1" hidden="1" x14ac:dyDescent="0.25">
      <c r="A39" s="85" t="s">
        <v>160</v>
      </c>
      <c r="B39" s="85"/>
      <c r="C39" s="85"/>
      <c r="D39" s="86"/>
      <c r="E39" s="85"/>
      <c r="G39" s="7">
        <f>E37+E41-G38</f>
        <v>935059</v>
      </c>
    </row>
    <row r="40" spans="1:7" s="6" customFormat="1" hidden="1" x14ac:dyDescent="0.25">
      <c r="A40" s="85" t="s">
        <v>150</v>
      </c>
      <c r="B40" s="85"/>
      <c r="C40" s="85"/>
      <c r="D40" s="91"/>
      <c r="E40" s="85"/>
    </row>
    <row r="41" spans="1:7" ht="15.75" hidden="1" thickBot="1" x14ac:dyDescent="0.3">
      <c r="A41" s="23" t="s">
        <v>159</v>
      </c>
      <c r="B41" s="23"/>
      <c r="C41" s="23"/>
      <c r="D41" s="42"/>
      <c r="E41" s="90">
        <f>SUM(D38:D40)</f>
        <v>0</v>
      </c>
      <c r="F41" s="7"/>
    </row>
    <row r="42" spans="1:7" s="1" customFormat="1" x14ac:dyDescent="0.25">
      <c r="A42" s="22" t="s">
        <v>144</v>
      </c>
      <c r="B42" s="22"/>
      <c r="C42" s="22"/>
      <c r="D42" s="24"/>
      <c r="E42" s="92"/>
    </row>
    <row r="43" spans="1:7" s="6" customFormat="1" x14ac:dyDescent="0.25">
      <c r="A43" s="85" t="s">
        <v>145</v>
      </c>
      <c r="B43" s="85" t="s">
        <v>192</v>
      </c>
      <c r="C43" s="85"/>
      <c r="D43" s="86">
        <v>25000</v>
      </c>
      <c r="E43" s="93"/>
    </row>
    <row r="44" spans="1:7" s="6" customFormat="1" x14ac:dyDescent="0.25">
      <c r="A44" s="85" t="s">
        <v>146</v>
      </c>
      <c r="B44" s="85" t="s">
        <v>192</v>
      </c>
      <c r="C44" s="85"/>
      <c r="D44" s="86">
        <f>93880.87 + 93880.87*10%</f>
        <v>103268.95699999999</v>
      </c>
      <c r="E44" s="93"/>
      <c r="G44" s="6" t="s">
        <v>211</v>
      </c>
    </row>
    <row r="45" spans="1:7" s="6" customFormat="1" ht="15.75" thickBot="1" x14ac:dyDescent="0.3">
      <c r="A45" s="85"/>
      <c r="B45" s="85"/>
      <c r="C45" s="85"/>
      <c r="D45" s="20"/>
      <c r="E45" s="93"/>
    </row>
    <row r="46" spans="1:7" s="1" customFormat="1" ht="15.75" thickBot="1" x14ac:dyDescent="0.3">
      <c r="A46" s="23" t="s">
        <v>115</v>
      </c>
      <c r="B46" s="23"/>
      <c r="C46" s="23"/>
      <c r="D46" s="28"/>
      <c r="E46" s="94">
        <f>SUM(D43:D44)</f>
        <v>128268.95699999999</v>
      </c>
    </row>
    <row r="47" spans="1:7" x14ac:dyDescent="0.25">
      <c r="A47" s="22" t="s">
        <v>2</v>
      </c>
      <c r="B47" s="23"/>
      <c r="C47" s="23"/>
      <c r="D47" s="25"/>
      <c r="E47" s="25"/>
    </row>
    <row r="48" spans="1:7" x14ac:dyDescent="0.25">
      <c r="A48" s="84" t="s">
        <v>129</v>
      </c>
      <c r="B48" s="85"/>
      <c r="C48" s="85" t="s">
        <v>200</v>
      </c>
      <c r="D48" s="20">
        <v>23995</v>
      </c>
      <c r="E48" s="27"/>
    </row>
    <row r="49" spans="1:5" ht="15.75" thickBot="1" x14ac:dyDescent="0.3">
      <c r="A49" s="84"/>
      <c r="B49" s="85"/>
      <c r="C49" s="85"/>
      <c r="D49" s="20"/>
      <c r="E49" s="95"/>
    </row>
    <row r="50" spans="1:5" ht="15.75" thickBot="1" x14ac:dyDescent="0.3">
      <c r="A50" s="23" t="s">
        <v>3</v>
      </c>
      <c r="B50" s="23"/>
      <c r="C50" s="23"/>
      <c r="D50" s="28"/>
      <c r="E50" s="96">
        <f>SUM(D48)</f>
        <v>23995</v>
      </c>
    </row>
    <row r="51" spans="1:5" s="1" customFormat="1" x14ac:dyDescent="0.25">
      <c r="A51" s="22" t="s">
        <v>116</v>
      </c>
      <c r="B51" s="43"/>
      <c r="C51" s="43"/>
      <c r="D51" s="29"/>
      <c r="E51" s="97"/>
    </row>
    <row r="52" spans="1:5" s="1" customFormat="1" x14ac:dyDescent="0.25">
      <c r="A52" s="85" t="s">
        <v>207</v>
      </c>
      <c r="B52" s="85"/>
      <c r="C52" s="85"/>
      <c r="D52" s="20">
        <v>0</v>
      </c>
      <c r="E52" s="27"/>
    </row>
    <row r="53" spans="1:5" x14ac:dyDescent="0.25">
      <c r="A53" s="85" t="s">
        <v>206</v>
      </c>
      <c r="B53" s="85"/>
      <c r="C53" s="85" t="s">
        <v>208</v>
      </c>
      <c r="D53" s="20">
        <v>1080327.3799999999</v>
      </c>
      <c r="E53" s="27"/>
    </row>
    <row r="54" spans="1:5" s="6" customFormat="1" x14ac:dyDescent="0.25">
      <c r="A54" s="85" t="s">
        <v>193</v>
      </c>
      <c r="B54" s="85" t="s">
        <v>132</v>
      </c>
      <c r="C54" s="85" t="s">
        <v>197</v>
      </c>
      <c r="D54" s="27">
        <v>100849.27</v>
      </c>
      <c r="E54" s="27"/>
    </row>
    <row r="55" spans="1:5" x14ac:dyDescent="0.25">
      <c r="A55" s="85" t="str">
        <f>A54</f>
        <v>Sindicatos periodo ENERO</v>
      </c>
      <c r="B55" s="85" t="s">
        <v>130</v>
      </c>
      <c r="C55" s="85" t="str">
        <f>C54</f>
        <v>Debito 13/01</v>
      </c>
      <c r="D55" s="20">
        <v>158415.17000000001</v>
      </c>
      <c r="E55" s="27"/>
    </row>
    <row r="56" spans="1:5" x14ac:dyDescent="0.25">
      <c r="A56" s="85" t="str">
        <f>A55</f>
        <v>Sindicatos periodo ENERO</v>
      </c>
      <c r="B56" s="85" t="s">
        <v>131</v>
      </c>
      <c r="C56" s="85" t="str">
        <f>C55</f>
        <v>Debito 13/01</v>
      </c>
      <c r="D56" s="20">
        <v>11205.47</v>
      </c>
      <c r="E56" s="95"/>
    </row>
    <row r="57" spans="1:5" s="6" customFormat="1" x14ac:dyDescent="0.25">
      <c r="A57" s="85"/>
      <c r="B57" s="85"/>
      <c r="C57" s="85"/>
      <c r="D57" s="20"/>
      <c r="E57" s="27"/>
    </row>
    <row r="58" spans="1:5" s="6" customFormat="1" x14ac:dyDescent="0.25">
      <c r="A58" s="85"/>
      <c r="B58" s="85"/>
      <c r="C58" s="85"/>
      <c r="D58" s="20"/>
      <c r="E58" s="27"/>
    </row>
    <row r="59" spans="1:5" s="6" customFormat="1" x14ac:dyDescent="0.25">
      <c r="A59" s="85"/>
      <c r="B59" s="85"/>
      <c r="C59" s="85"/>
      <c r="D59" s="20"/>
      <c r="E59" s="27"/>
    </row>
    <row r="60" spans="1:5" ht="15" customHeight="1" thickBot="1" x14ac:dyDescent="0.3">
      <c r="A60" s="23" t="s">
        <v>4</v>
      </c>
      <c r="B60" s="43"/>
      <c r="C60" s="43"/>
      <c r="D60" s="30"/>
      <c r="E60" s="98">
        <f>SUM(D52:D59)</f>
        <v>1350797.2899999998</v>
      </c>
    </row>
    <row r="61" spans="1:5" s="1" customFormat="1" x14ac:dyDescent="0.25">
      <c r="A61" s="22" t="s">
        <v>118</v>
      </c>
      <c r="B61" s="43"/>
      <c r="C61" s="43"/>
      <c r="D61" s="29"/>
      <c r="E61" s="97"/>
    </row>
    <row r="62" spans="1:5" s="6" customFormat="1" ht="14.25" customHeight="1" x14ac:dyDescent="0.25">
      <c r="A62" s="85" t="s">
        <v>194</v>
      </c>
      <c r="B62" s="99" t="s">
        <v>187</v>
      </c>
      <c r="C62" s="85"/>
      <c r="D62" s="20">
        <v>0</v>
      </c>
      <c r="E62" s="27"/>
    </row>
    <row r="63" spans="1:5" s="6" customFormat="1" hidden="1" x14ac:dyDescent="0.25">
      <c r="A63" s="85"/>
      <c r="B63" s="85"/>
      <c r="C63" s="85"/>
      <c r="D63" s="20"/>
      <c r="E63" s="27"/>
    </row>
    <row r="64" spans="1:5" s="6" customFormat="1" x14ac:dyDescent="0.25">
      <c r="A64" s="99" t="s">
        <v>201</v>
      </c>
      <c r="B64" s="85" t="s">
        <v>202</v>
      </c>
      <c r="C64" s="85"/>
      <c r="D64" s="20">
        <v>53900</v>
      </c>
      <c r="E64" s="27"/>
    </row>
    <row r="65" spans="1:5" s="6" customFormat="1" ht="14.25" customHeight="1" x14ac:dyDescent="0.25">
      <c r="A65" s="85" t="s">
        <v>126</v>
      </c>
      <c r="B65" s="100"/>
      <c r="C65" s="101"/>
      <c r="D65" s="20">
        <v>0</v>
      </c>
      <c r="E65" s="27"/>
    </row>
    <row r="66" spans="1:5" s="6" customFormat="1" x14ac:dyDescent="0.25">
      <c r="A66" s="85" t="s">
        <v>204</v>
      </c>
      <c r="B66" s="85"/>
      <c r="C66" s="101"/>
      <c r="D66" s="20">
        <v>62000</v>
      </c>
      <c r="E66" s="27"/>
    </row>
    <row r="67" spans="1:5" x14ac:dyDescent="0.25">
      <c r="A67" s="85" t="s">
        <v>155</v>
      </c>
      <c r="B67" s="85"/>
      <c r="C67" s="85"/>
      <c r="D67" s="20">
        <v>1161.8900000000001</v>
      </c>
      <c r="E67" s="27"/>
    </row>
    <row r="68" spans="1:5" x14ac:dyDescent="0.25">
      <c r="A68" s="85" t="s">
        <v>120</v>
      </c>
      <c r="B68" s="85"/>
      <c r="C68" s="85"/>
      <c r="D68" s="153">
        <v>211853.13</v>
      </c>
      <c r="E68" s="27"/>
    </row>
    <row r="69" spans="1:5" x14ac:dyDescent="0.25">
      <c r="A69" s="85" t="s">
        <v>127</v>
      </c>
      <c r="B69" s="85"/>
      <c r="C69" s="85"/>
      <c r="D69" s="154">
        <v>160427.06</v>
      </c>
      <c r="E69" s="27"/>
    </row>
    <row r="70" spans="1:5" s="6" customFormat="1" x14ac:dyDescent="0.25">
      <c r="A70" s="85" t="s">
        <v>195</v>
      </c>
      <c r="B70" s="85"/>
      <c r="C70" s="85"/>
      <c r="D70" s="20">
        <v>14901.7</v>
      </c>
      <c r="E70" s="27"/>
    </row>
    <row r="71" spans="1:5" s="6" customFormat="1" x14ac:dyDescent="0.25">
      <c r="A71" s="85"/>
      <c r="B71" s="100"/>
      <c r="C71" s="102"/>
      <c r="D71" s="20"/>
      <c r="E71" s="95"/>
    </row>
    <row r="72" spans="1:5" s="6" customFormat="1" x14ac:dyDescent="0.25">
      <c r="A72" s="85"/>
      <c r="B72" s="100"/>
      <c r="C72" s="102"/>
      <c r="D72" s="20"/>
      <c r="E72" s="95"/>
    </row>
    <row r="73" spans="1:5" s="6" customFormat="1" x14ac:dyDescent="0.25">
      <c r="A73" s="85"/>
      <c r="B73" s="100"/>
      <c r="C73" s="102"/>
      <c r="D73" s="20"/>
      <c r="E73" s="95"/>
    </row>
    <row r="74" spans="1:5" ht="15.75" thickBot="1" x14ac:dyDescent="0.3">
      <c r="A74" s="85"/>
      <c r="B74" s="103"/>
      <c r="C74" s="104"/>
      <c r="D74" s="20"/>
      <c r="E74" s="95"/>
    </row>
    <row r="75" spans="1:5" ht="15.75" thickBot="1" x14ac:dyDescent="0.3">
      <c r="A75" s="23" t="s">
        <v>5</v>
      </c>
      <c r="B75" s="23"/>
      <c r="C75" s="23"/>
      <c r="D75" s="28"/>
      <c r="E75" s="96">
        <f>SUM(D62:D74)</f>
        <v>504243.78</v>
      </c>
    </row>
    <row r="76" spans="1:5" ht="15.75" thickBot="1" x14ac:dyDescent="0.3">
      <c r="A76" s="22" t="s">
        <v>117</v>
      </c>
      <c r="B76" s="23"/>
      <c r="C76" s="23"/>
      <c r="D76" s="28"/>
      <c r="E76" s="96"/>
    </row>
    <row r="77" spans="1:5" x14ac:dyDescent="0.25">
      <c r="A77" s="85" t="s">
        <v>167</v>
      </c>
      <c r="B77" s="85"/>
      <c r="C77" s="85"/>
      <c r="D77" s="20">
        <v>40095.33</v>
      </c>
      <c r="E77" s="93"/>
    </row>
    <row r="78" spans="1:5" s="6" customFormat="1" x14ac:dyDescent="0.25">
      <c r="A78" s="85" t="s">
        <v>198</v>
      </c>
      <c r="B78" s="85"/>
      <c r="C78" s="85"/>
      <c r="D78" s="20">
        <v>36600</v>
      </c>
      <c r="E78" s="93"/>
    </row>
    <row r="79" spans="1:5" s="1" customFormat="1" x14ac:dyDescent="0.25">
      <c r="A79" s="85" t="s">
        <v>166</v>
      </c>
      <c r="B79" s="85"/>
      <c r="C79" s="85"/>
      <c r="D79" s="20">
        <v>52084.53</v>
      </c>
      <c r="E79" s="27"/>
    </row>
    <row r="80" spans="1:5" s="6" customFormat="1" x14ac:dyDescent="0.25">
      <c r="A80" s="85" t="s">
        <v>205</v>
      </c>
      <c r="B80" s="85"/>
      <c r="C80" s="85"/>
      <c r="D80" s="20">
        <v>52084.53</v>
      </c>
      <c r="E80" s="27"/>
    </row>
    <row r="81" spans="1:7" s="6" customFormat="1" x14ac:dyDescent="0.25">
      <c r="A81" s="85" t="s">
        <v>209</v>
      </c>
      <c r="B81" s="85"/>
      <c r="C81" s="85"/>
      <c r="D81" s="20">
        <v>115000</v>
      </c>
      <c r="E81" s="27"/>
    </row>
    <row r="82" spans="1:7" s="6" customFormat="1" x14ac:dyDescent="0.25">
      <c r="A82" s="85" t="s">
        <v>210</v>
      </c>
      <c r="B82" s="85"/>
      <c r="C82" s="85"/>
      <c r="D82" s="20">
        <v>75000</v>
      </c>
      <c r="E82" s="27"/>
    </row>
    <row r="83" spans="1:7" s="6" customFormat="1" x14ac:dyDescent="0.25">
      <c r="A83" s="85" t="s">
        <v>203</v>
      </c>
      <c r="B83" s="85"/>
      <c r="C83" s="85"/>
      <c r="D83" s="20">
        <v>33000</v>
      </c>
      <c r="E83" s="27"/>
    </row>
    <row r="84" spans="1:7" x14ac:dyDescent="0.25">
      <c r="A84" s="85" t="s">
        <v>154</v>
      </c>
      <c r="B84" s="85"/>
      <c r="C84" s="85"/>
      <c r="D84" s="27">
        <v>1800</v>
      </c>
      <c r="E84" s="27"/>
    </row>
    <row r="85" spans="1:7" x14ac:dyDescent="0.25">
      <c r="A85" s="85"/>
      <c r="B85" s="85"/>
      <c r="C85" s="85"/>
      <c r="D85" s="27"/>
      <c r="E85" s="27"/>
    </row>
    <row r="86" spans="1:7" x14ac:dyDescent="0.25">
      <c r="A86" s="85"/>
      <c r="B86" s="85"/>
      <c r="C86" s="85"/>
      <c r="D86" s="27"/>
      <c r="E86" s="27"/>
    </row>
    <row r="87" spans="1:7" x14ac:dyDescent="0.25">
      <c r="A87" s="85"/>
      <c r="B87" s="85"/>
      <c r="C87" s="85"/>
      <c r="D87" s="27"/>
      <c r="E87" s="20"/>
    </row>
    <row r="88" spans="1:7" s="6" customFormat="1" ht="15.75" thickBot="1" x14ac:dyDescent="0.3">
      <c r="A88" s="23" t="s">
        <v>16</v>
      </c>
      <c r="B88" s="22"/>
      <c r="C88" s="22"/>
      <c r="D88" s="22"/>
      <c r="E88" s="105">
        <f>SUM(D77:D87)</f>
        <v>405664.39</v>
      </c>
    </row>
    <row r="89" spans="1:7" s="6" customFormat="1" ht="15.75" thickBot="1" x14ac:dyDescent="0.3">
      <c r="A89" s="22" t="s">
        <v>38</v>
      </c>
      <c r="B89" s="23"/>
      <c r="C89" s="23"/>
      <c r="D89" s="15"/>
      <c r="E89" s="96"/>
    </row>
    <row r="90" spans="1:7" s="6" customFormat="1" x14ac:dyDescent="0.25">
      <c r="A90" s="85" t="s">
        <v>38</v>
      </c>
      <c r="B90" s="85"/>
      <c r="C90" s="85"/>
      <c r="D90" s="20">
        <f>48138.28+25655.8</f>
        <v>73794.080000000002</v>
      </c>
      <c r="E90" s="106"/>
    </row>
    <row r="91" spans="1:7" s="6" customFormat="1" x14ac:dyDescent="0.25">
      <c r="A91" s="84"/>
      <c r="B91" s="85"/>
      <c r="C91" s="85"/>
      <c r="D91" s="20"/>
      <c r="E91" s="20"/>
    </row>
    <row r="92" spans="1:7" ht="15.75" thickBot="1" x14ac:dyDescent="0.3">
      <c r="A92" s="84"/>
      <c r="B92" s="85"/>
      <c r="C92" s="85"/>
      <c r="D92" s="20"/>
      <c r="E92" s="107"/>
    </row>
    <row r="93" spans="1:7" ht="15.75" thickBot="1" x14ac:dyDescent="0.3">
      <c r="A93" s="23" t="s">
        <v>115</v>
      </c>
      <c r="B93" s="23"/>
      <c r="C93" s="23"/>
      <c r="D93" s="15"/>
      <c r="E93" s="96">
        <f>SUM(D90:D92)</f>
        <v>73794.080000000002</v>
      </c>
    </row>
    <row r="94" spans="1:7" ht="15.75" thickBot="1" x14ac:dyDescent="0.3">
      <c r="A94" s="85"/>
      <c r="B94" s="85"/>
      <c r="C94" s="85"/>
      <c r="D94" s="85"/>
      <c r="E94" s="108"/>
    </row>
    <row r="95" spans="1:7" ht="15.75" thickBot="1" x14ac:dyDescent="0.3">
      <c r="A95" s="109" t="s">
        <v>186</v>
      </c>
      <c r="B95" s="109"/>
      <c r="C95" s="109"/>
      <c r="D95" s="110"/>
      <c r="E95" s="111">
        <v>300000</v>
      </c>
    </row>
    <row r="96" spans="1:7" ht="15.75" thickBot="1" x14ac:dyDescent="0.3">
      <c r="A96" s="112"/>
      <c r="B96" s="113"/>
      <c r="C96" s="113"/>
      <c r="D96" s="113"/>
      <c r="E96" s="114"/>
      <c r="G96">
        <v>3900999.4899999998</v>
      </c>
    </row>
    <row r="97" spans="1:7" ht="15.75" thickBot="1" x14ac:dyDescent="0.3">
      <c r="A97" s="115" t="s">
        <v>39</v>
      </c>
      <c r="B97" s="116"/>
      <c r="C97" s="117"/>
      <c r="D97" s="117"/>
      <c r="E97" s="118">
        <f>(SUM(E30:E95))</f>
        <v>3957433.497</v>
      </c>
      <c r="F97" s="35"/>
      <c r="G97" s="35"/>
    </row>
    <row r="98" spans="1:7" x14ac:dyDescent="0.25">
      <c r="A98" s="78"/>
      <c r="B98" s="78"/>
      <c r="C98" s="78"/>
      <c r="D98" s="78"/>
      <c r="E98" s="78"/>
    </row>
    <row r="99" spans="1:7" s="6" customFormat="1" ht="15.75" thickBot="1" x14ac:dyDescent="0.3">
      <c r="A99" s="78"/>
      <c r="B99" s="78"/>
      <c r="C99" s="78"/>
      <c r="D99" s="78"/>
      <c r="E99" s="78"/>
      <c r="F99" s="35"/>
    </row>
    <row r="100" spans="1:7" s="6" customFormat="1" x14ac:dyDescent="0.25">
      <c r="A100" s="168" t="s">
        <v>162</v>
      </c>
      <c r="B100" s="169"/>
      <c r="C100" s="119"/>
      <c r="D100" s="78"/>
      <c r="E100" s="78"/>
    </row>
    <row r="101" spans="1:7" s="6" customFormat="1" ht="15" customHeight="1" x14ac:dyDescent="0.25">
      <c r="A101" s="160"/>
      <c r="B101" s="161"/>
      <c r="C101" s="20"/>
      <c r="D101" s="78"/>
      <c r="E101" s="78"/>
    </row>
    <row r="102" spans="1:7" s="6" customFormat="1" x14ac:dyDescent="0.25">
      <c r="A102" s="162"/>
      <c r="B102" s="163"/>
      <c r="C102" s="20"/>
      <c r="D102" s="78"/>
      <c r="E102" s="78"/>
    </row>
    <row r="103" spans="1:7" s="6" customFormat="1" x14ac:dyDescent="0.25">
      <c r="A103" s="164"/>
      <c r="B103" s="165"/>
      <c r="C103" s="120"/>
      <c r="D103" s="78"/>
      <c r="E103" s="121"/>
    </row>
    <row r="104" spans="1:7" s="6" customFormat="1" ht="15.75" thickBot="1" x14ac:dyDescent="0.3">
      <c r="A104" s="166" t="s">
        <v>16</v>
      </c>
      <c r="B104" s="167"/>
      <c r="C104" s="122">
        <f>SUM(C101:C103)</f>
        <v>0</v>
      </c>
      <c r="D104" s="78"/>
      <c r="E104" s="78"/>
    </row>
    <row r="105" spans="1:7" s="6" customFormat="1" x14ac:dyDescent="0.25">
      <c r="A105" s="78"/>
      <c r="B105" s="78"/>
      <c r="C105" s="78"/>
      <c r="D105" s="78"/>
      <c r="E105" s="78"/>
    </row>
    <row r="106" spans="1:7" s="6" customFormat="1" x14ac:dyDescent="0.25">
      <c r="A106" s="123" t="s">
        <v>168</v>
      </c>
      <c r="B106" s="123"/>
      <c r="C106" s="124"/>
      <c r="D106" s="125"/>
      <c r="E106" s="78"/>
    </row>
    <row r="107" spans="1:7" s="6" customFormat="1" ht="15.75" thickBot="1" x14ac:dyDescent="0.3">
      <c r="A107" s="78"/>
      <c r="B107" s="78"/>
      <c r="C107" s="78"/>
      <c r="D107" s="78"/>
      <c r="E107" s="78"/>
    </row>
    <row r="108" spans="1:7" s="6" customFormat="1" ht="15.75" thickBot="1" x14ac:dyDescent="0.3">
      <c r="A108" s="126" t="s">
        <v>40</v>
      </c>
      <c r="B108" s="127">
        <f>E97</f>
        <v>3957433.497</v>
      </c>
      <c r="C108" s="78"/>
      <c r="D108" s="78"/>
      <c r="E108" s="121"/>
    </row>
    <row r="109" spans="1:7" x14ac:dyDescent="0.25">
      <c r="A109" s="128" t="s">
        <v>41</v>
      </c>
      <c r="B109" s="129">
        <f>E97-E95</f>
        <v>3657433.497</v>
      </c>
      <c r="C109" s="78"/>
      <c r="D109" s="78"/>
      <c r="E109" s="78"/>
    </row>
    <row r="110" spans="1:7" s="6" customFormat="1" x14ac:dyDescent="0.25">
      <c r="A110" s="130" t="s">
        <v>164</v>
      </c>
      <c r="B110" s="131">
        <f>C104+C106</f>
        <v>0</v>
      </c>
      <c r="C110" s="78"/>
      <c r="D110" s="78"/>
      <c r="E110" s="78"/>
    </row>
    <row r="111" spans="1:7" s="6" customFormat="1" x14ac:dyDescent="0.25">
      <c r="A111" s="130" t="s">
        <v>163</v>
      </c>
      <c r="B111" s="131">
        <f>C104</f>
        <v>0</v>
      </c>
      <c r="C111" s="78"/>
      <c r="D111" s="78"/>
      <c r="E111" s="78"/>
    </row>
    <row r="112" spans="1:7" s="6" customFormat="1" x14ac:dyDescent="0.25">
      <c r="A112" s="130" t="s">
        <v>165</v>
      </c>
      <c r="B112" s="131">
        <f>B109+B111</f>
        <v>3657433.497</v>
      </c>
      <c r="C112" s="78"/>
      <c r="D112" s="78"/>
      <c r="E112" s="78"/>
    </row>
    <row r="113" spans="1:5" x14ac:dyDescent="0.25">
      <c r="A113" s="78"/>
      <c r="B113" s="78"/>
      <c r="C113" s="78"/>
      <c r="D113" s="78"/>
      <c r="E113" s="78"/>
    </row>
    <row r="114" spans="1:5" s="6" customFormat="1" hidden="1" x14ac:dyDescent="0.25">
      <c r="A114" s="159"/>
      <c r="B114" s="159"/>
      <c r="C114" s="159"/>
      <c r="D114" s="78"/>
      <c r="E114" s="78"/>
    </row>
    <row r="115" spans="1:5" s="6" customFormat="1" ht="35.25" hidden="1" customHeight="1" x14ac:dyDescent="0.25">
      <c r="A115" s="159"/>
      <c r="B115" s="159"/>
      <c r="C115" s="159"/>
      <c r="D115" s="78"/>
      <c r="E115" s="78"/>
    </row>
    <row r="116" spans="1:5" s="6" customFormat="1" x14ac:dyDescent="0.25">
      <c r="A116" s="78"/>
      <c r="B116" s="78"/>
      <c r="C116" s="78"/>
      <c r="D116" s="78"/>
      <c r="E116" s="78"/>
    </row>
    <row r="117" spans="1:5" x14ac:dyDescent="0.25">
      <c r="A117" s="132" t="s">
        <v>185</v>
      </c>
      <c r="B117" s="133"/>
      <c r="C117" s="134"/>
      <c r="D117" s="78"/>
      <c r="E117" s="78"/>
    </row>
    <row r="118" spans="1:5" x14ac:dyDescent="0.25">
      <c r="A118" s="19" t="s">
        <v>42</v>
      </c>
      <c r="B118" s="133">
        <v>-344890.55722386483</v>
      </c>
      <c r="C118" s="135"/>
      <c r="D118" s="78"/>
      <c r="E118" s="78"/>
    </row>
    <row r="119" spans="1:5" ht="13.5" customHeight="1" x14ac:dyDescent="0.25">
      <c r="A119" s="136" t="s">
        <v>44</v>
      </c>
      <c r="B119" s="137">
        <f>PRORRATEO!I44</f>
        <v>3093496.4685658002</v>
      </c>
      <c r="C119" s="134"/>
      <c r="D119" s="121"/>
      <c r="E119" s="78"/>
    </row>
    <row r="120" spans="1:5" hidden="1" x14ac:dyDescent="0.25">
      <c r="A120" s="138"/>
      <c r="B120" s="39"/>
      <c r="C120" s="139"/>
      <c r="D120" s="78"/>
      <c r="E120" s="78"/>
    </row>
    <row r="121" spans="1:5" x14ac:dyDescent="0.25">
      <c r="A121" s="138" t="s">
        <v>173</v>
      </c>
      <c r="B121" s="39">
        <f>-B133</f>
        <v>115118.5007451</v>
      </c>
      <c r="C121" s="140"/>
      <c r="D121" s="78"/>
      <c r="E121" s="78"/>
    </row>
    <row r="122" spans="1:5" x14ac:dyDescent="0.25">
      <c r="A122" s="141" t="s">
        <v>170</v>
      </c>
      <c r="B122" s="39">
        <f>C141</f>
        <v>259026.36</v>
      </c>
      <c r="C122" s="134"/>
      <c r="D122" s="121"/>
      <c r="E122" s="78"/>
    </row>
    <row r="123" spans="1:5" s="6" customFormat="1" x14ac:dyDescent="0.25">
      <c r="A123" s="141" t="s">
        <v>171</v>
      </c>
      <c r="B123" s="39"/>
      <c r="C123" s="134"/>
      <c r="D123" s="78"/>
      <c r="E123" s="78"/>
    </row>
    <row r="124" spans="1:5" x14ac:dyDescent="0.25">
      <c r="A124" s="142" t="s">
        <v>43</v>
      </c>
      <c r="B124" s="143">
        <f>-(B112+B132)</f>
        <v>-3316753.54</v>
      </c>
      <c r="C124" s="134"/>
      <c r="D124" s="78"/>
      <c r="E124" s="78"/>
    </row>
    <row r="125" spans="1:5" x14ac:dyDescent="0.25">
      <c r="A125" s="144" t="s">
        <v>16</v>
      </c>
      <c r="B125" s="47">
        <f>SUM(B118:B124)</f>
        <v>-194002.7679129648</v>
      </c>
      <c r="C125" s="145"/>
      <c r="D125" s="121"/>
      <c r="E125" s="78"/>
    </row>
    <row r="126" spans="1:5" s="6" customFormat="1" x14ac:dyDescent="0.25">
      <c r="A126" s="78"/>
      <c r="B126" s="146"/>
      <c r="C126" s="145"/>
      <c r="D126" s="78"/>
      <c r="E126" s="78"/>
    </row>
    <row r="127" spans="1:5" x14ac:dyDescent="0.25">
      <c r="A127" s="78"/>
      <c r="B127" s="147"/>
      <c r="C127" s="145"/>
      <c r="D127" s="78"/>
      <c r="E127" s="78"/>
    </row>
    <row r="128" spans="1:5" s="31" customFormat="1" ht="27" customHeight="1" x14ac:dyDescent="0.25">
      <c r="A128" s="78"/>
      <c r="B128" s="146"/>
      <c r="C128" s="148"/>
      <c r="D128" s="149"/>
      <c r="E128" s="149"/>
    </row>
    <row r="129" spans="1:13" s="31" customFormat="1" ht="27" customHeight="1" x14ac:dyDescent="0.25">
      <c r="A129" s="150" t="s">
        <v>45</v>
      </c>
      <c r="B129" s="27"/>
      <c r="C129" s="148"/>
      <c r="D129" s="149"/>
      <c r="E129" s="151"/>
    </row>
    <row r="130" spans="1:13" s="31" customFormat="1" ht="27" customHeight="1" x14ac:dyDescent="0.25">
      <c r="A130" s="85" t="s">
        <v>42</v>
      </c>
      <c r="B130" s="27">
        <v>2.8200999950058758E-3</v>
      </c>
      <c r="C130" s="148"/>
      <c r="D130" s="151"/>
      <c r="E130" s="151"/>
    </row>
    <row r="131" spans="1:13" ht="14.25" customHeight="1" x14ac:dyDescent="0.25">
      <c r="A131" s="85" t="s">
        <v>35</v>
      </c>
      <c r="B131" s="27">
        <f>PRORRATEO!I45</f>
        <v>455798.457925</v>
      </c>
      <c r="C131" s="145"/>
      <c r="D131" s="121"/>
      <c r="E131" s="78"/>
    </row>
    <row r="132" spans="1:13" x14ac:dyDescent="0.25">
      <c r="A132" s="85" t="s">
        <v>43</v>
      </c>
      <c r="B132" s="46">
        <f>-(D44+D84+G38)</f>
        <v>-340679.95699999999</v>
      </c>
      <c r="C132" s="145"/>
      <c r="D132" s="78"/>
      <c r="E132" s="78"/>
    </row>
    <row r="133" spans="1:13" x14ac:dyDescent="0.25">
      <c r="A133" s="85" t="s">
        <v>172</v>
      </c>
      <c r="B133" s="27">
        <f>-124506.5907451 + 9388.09</f>
        <v>-115118.5007451</v>
      </c>
      <c r="C133" s="152"/>
      <c r="D133" s="78"/>
      <c r="E133" s="78"/>
    </row>
    <row r="134" spans="1:13" x14ac:dyDescent="0.25">
      <c r="A134" s="150" t="s">
        <v>46</v>
      </c>
      <c r="B134" s="47">
        <f>SUM(B130:B133)</f>
        <v>2.9999999969732016E-3</v>
      </c>
      <c r="C134" s="134"/>
      <c r="D134" s="78"/>
      <c r="E134" s="78"/>
    </row>
    <row r="135" spans="1:13" x14ac:dyDescent="0.25">
      <c r="A135" s="78"/>
      <c r="B135" s="78"/>
      <c r="C135" s="78"/>
      <c r="D135" s="78"/>
      <c r="E135" s="78"/>
    </row>
    <row r="137" spans="1:13" x14ac:dyDescent="0.25">
      <c r="A137" s="156" t="s">
        <v>169</v>
      </c>
      <c r="B137" s="156"/>
      <c r="C137" s="156"/>
    </row>
    <row r="138" spans="1:13" x14ac:dyDescent="0.25">
      <c r="A138" s="156"/>
      <c r="B138" s="156"/>
      <c r="C138" s="156"/>
    </row>
    <row r="139" spans="1:13" x14ac:dyDescent="0.25">
      <c r="A139" s="2" t="s">
        <v>212</v>
      </c>
      <c r="B139" s="2"/>
      <c r="C139" s="26">
        <v>129513.18</v>
      </c>
    </row>
    <row r="140" spans="1:13" x14ac:dyDescent="0.25">
      <c r="A140" s="2" t="s">
        <v>213</v>
      </c>
      <c r="B140" s="2"/>
      <c r="C140" s="26">
        <v>129513.18</v>
      </c>
    </row>
    <row r="141" spans="1:13" x14ac:dyDescent="0.25">
      <c r="A141" s="36" t="s">
        <v>16</v>
      </c>
      <c r="B141" s="36"/>
      <c r="C141" s="37">
        <f>SUM(C139:C140)</f>
        <v>259026.36</v>
      </c>
    </row>
    <row r="142" spans="1:13" x14ac:dyDescent="0.25">
      <c r="M142" s="5"/>
    </row>
  </sheetData>
  <mergeCells count="9">
    <mergeCell ref="A137:C138"/>
    <mergeCell ref="A15:E18"/>
    <mergeCell ref="A22:E26"/>
    <mergeCell ref="A101:B101"/>
    <mergeCell ref="A102:B102"/>
    <mergeCell ref="A103:B103"/>
    <mergeCell ref="A104:B104"/>
    <mergeCell ref="A100:B100"/>
    <mergeCell ref="A114:C115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opLeftCell="C1" workbookViewId="0">
      <selection activeCell="H12" sqref="H12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style="6" customWidth="1"/>
    <col min="6" max="6" width="6.5703125" customWidth="1"/>
    <col min="7" max="7" width="13.5703125" bestFit="1" customWidth="1"/>
    <col min="8" max="8" width="11.7109375" customWidth="1"/>
    <col min="9" max="9" width="12" style="6" hidden="1" customWidth="1"/>
    <col min="10" max="10" width="10.7109375" customWidth="1"/>
    <col min="11" max="11" width="10.5703125" customWidth="1"/>
    <col min="12" max="12" width="13" customWidth="1"/>
    <col min="13" max="13" width="5" hidden="1" customWidth="1"/>
    <col min="14" max="14" width="14.7109375" customWidth="1"/>
    <col min="15" max="15" width="14.5703125" customWidth="1"/>
    <col min="17" max="17" width="12" bestFit="1" customWidth="1"/>
  </cols>
  <sheetData>
    <row r="1" spans="1:17" x14ac:dyDescent="0.25">
      <c r="A1" s="3"/>
      <c r="B1" s="3"/>
      <c r="C1" s="3"/>
      <c r="D1" s="3"/>
      <c r="E1" s="3"/>
      <c r="F1" s="3"/>
      <c r="G1" s="3" t="s">
        <v>6</v>
      </c>
      <c r="H1" s="3"/>
      <c r="I1" s="3"/>
      <c r="J1" s="3"/>
      <c r="K1" s="3"/>
      <c r="L1" s="3"/>
      <c r="M1" s="3"/>
      <c r="N1" s="3"/>
      <c r="O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4"/>
      <c r="O2" s="44">
        <v>3957433.497</v>
      </c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7</v>
      </c>
      <c r="L3" s="3"/>
      <c r="M3" s="3"/>
      <c r="N3" s="171">
        <f>O2</f>
        <v>3957433.497</v>
      </c>
      <c r="O3" s="171"/>
      <c r="P3" s="7"/>
    </row>
    <row r="4" spans="1:17" ht="15.7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 t="s">
        <v>112</v>
      </c>
      <c r="L4" s="3"/>
      <c r="M4" s="3"/>
      <c r="N4" s="170">
        <v>0</v>
      </c>
      <c r="O4" s="170"/>
    </row>
    <row r="5" spans="1:17" x14ac:dyDescent="0.25">
      <c r="A5" s="172" t="s">
        <v>8</v>
      </c>
      <c r="B5" s="174" t="s">
        <v>9</v>
      </c>
      <c r="C5" s="176" t="s">
        <v>10</v>
      </c>
      <c r="D5" s="176" t="s">
        <v>11</v>
      </c>
      <c r="E5" s="176" t="s">
        <v>133</v>
      </c>
      <c r="F5" s="172" t="s">
        <v>37</v>
      </c>
      <c r="G5" s="172" t="s">
        <v>12</v>
      </c>
      <c r="H5" s="172" t="s">
        <v>13</v>
      </c>
      <c r="I5" s="17"/>
      <c r="J5" s="180" t="s">
        <v>151</v>
      </c>
      <c r="K5" s="178" t="s">
        <v>14</v>
      </c>
      <c r="L5" s="178" t="s">
        <v>33</v>
      </c>
      <c r="M5" s="178" t="s">
        <v>15</v>
      </c>
      <c r="N5" s="178" t="s">
        <v>31</v>
      </c>
      <c r="O5" s="178" t="s">
        <v>32</v>
      </c>
    </row>
    <row r="6" spans="1:17" x14ac:dyDescent="0.25">
      <c r="A6" s="173"/>
      <c r="B6" s="175"/>
      <c r="C6" s="177"/>
      <c r="D6" s="177"/>
      <c r="E6" s="183"/>
      <c r="F6" s="173"/>
      <c r="G6" s="173"/>
      <c r="H6" s="173"/>
      <c r="I6" s="18"/>
      <c r="J6" s="181"/>
      <c r="K6" s="179"/>
      <c r="L6" s="182"/>
      <c r="M6" s="182"/>
      <c r="N6" s="182"/>
      <c r="O6" s="179"/>
    </row>
    <row r="7" spans="1:17" x14ac:dyDescent="0.25">
      <c r="A7" s="2" t="s">
        <v>17</v>
      </c>
      <c r="B7" s="2"/>
      <c r="C7" s="38" t="s">
        <v>17</v>
      </c>
      <c r="D7" s="38" t="s">
        <v>84</v>
      </c>
      <c r="E7" s="38"/>
      <c r="F7" s="2">
        <v>2.63</v>
      </c>
      <c r="G7" s="32">
        <v>102596.10782732564</v>
      </c>
      <c r="H7" s="33">
        <f>166572-G39</f>
        <v>102595.60836400001</v>
      </c>
      <c r="I7" s="16" t="s">
        <v>124</v>
      </c>
      <c r="J7" s="10">
        <f>H7-G7</f>
        <v>-0.4994633256283123</v>
      </c>
      <c r="K7" s="45">
        <f>N$4*F7%</f>
        <v>0</v>
      </c>
      <c r="L7" s="9">
        <f>N$3*F7%</f>
        <v>104080.5009711</v>
      </c>
      <c r="M7" s="26"/>
      <c r="N7" s="26">
        <f>L7+K7-J7+M7</f>
        <v>104081.00043442563</v>
      </c>
      <c r="O7" s="26">
        <f>N7*6% + N7</f>
        <v>110325.86046049117</v>
      </c>
    </row>
    <row r="8" spans="1:17" x14ac:dyDescent="0.25">
      <c r="A8" s="2" t="s">
        <v>18</v>
      </c>
      <c r="B8" s="2"/>
      <c r="C8" s="38" t="s">
        <v>49</v>
      </c>
      <c r="D8" s="38" t="s">
        <v>85</v>
      </c>
      <c r="E8" s="38" t="s">
        <v>134</v>
      </c>
      <c r="F8" s="2">
        <v>3.33</v>
      </c>
      <c r="G8" s="32">
        <v>347984.58441354928</v>
      </c>
      <c r="H8" s="33">
        <v>129903</v>
      </c>
      <c r="I8" s="16" t="s">
        <v>124</v>
      </c>
      <c r="J8" s="10">
        <f t="shared" ref="J8:J42" si="0">H8-G8</f>
        <v>-218081.58441354928</v>
      </c>
      <c r="K8" s="45">
        <f t="shared" ref="K8:K42" si="1">N$4*F8%</f>
        <v>0</v>
      </c>
      <c r="L8" s="9">
        <f t="shared" ref="L8:L42" si="2">N$3*F8%</f>
        <v>131782.53545010003</v>
      </c>
      <c r="M8" s="26"/>
      <c r="N8" s="26">
        <f>L8+K8-J8+M8</f>
        <v>349864.11986364931</v>
      </c>
      <c r="O8" s="26">
        <f t="shared" ref="O8:O42" si="3">N8*6% + N8</f>
        <v>370855.96705546824</v>
      </c>
      <c r="Q8" s="35"/>
    </row>
    <row r="9" spans="1:17" x14ac:dyDescent="0.25">
      <c r="A9" s="2" t="s">
        <v>18</v>
      </c>
      <c r="B9" s="2"/>
      <c r="C9" s="38" t="s">
        <v>50</v>
      </c>
      <c r="D9" s="38" t="s">
        <v>86</v>
      </c>
      <c r="E9" s="38"/>
      <c r="F9" s="2">
        <v>3.32</v>
      </c>
      <c r="G9" s="32">
        <v>129513.183068</v>
      </c>
      <c r="H9" s="33">
        <f>G9</f>
        <v>129513.183068</v>
      </c>
      <c r="I9" s="16" t="s">
        <v>124</v>
      </c>
      <c r="J9" s="10">
        <f t="shared" si="0"/>
        <v>0</v>
      </c>
      <c r="K9" s="45">
        <f t="shared" si="1"/>
        <v>0</v>
      </c>
      <c r="L9" s="9">
        <f t="shared" si="2"/>
        <v>131386.79210039999</v>
      </c>
      <c r="M9" s="26"/>
      <c r="N9" s="26">
        <f t="shared" ref="N9:N42" si="4">L9+K9-J9+M9</f>
        <v>131386.79210039999</v>
      </c>
      <c r="O9" s="26">
        <f t="shared" si="3"/>
        <v>139269.99962642399</v>
      </c>
    </row>
    <row r="10" spans="1:17" x14ac:dyDescent="0.25">
      <c r="A10" s="2" t="s">
        <v>19</v>
      </c>
      <c r="B10" s="2"/>
      <c r="C10" s="38" t="s">
        <v>51</v>
      </c>
      <c r="D10" s="38" t="s">
        <v>121</v>
      </c>
      <c r="E10" s="38"/>
      <c r="F10" s="2">
        <v>3.42</v>
      </c>
      <c r="G10" s="32">
        <v>490385.01152380346</v>
      </c>
      <c r="H10" s="33">
        <v>133000</v>
      </c>
      <c r="I10" s="16" t="s">
        <v>124</v>
      </c>
      <c r="J10" s="10">
        <f t="shared" si="0"/>
        <v>-357385.01152380346</v>
      </c>
      <c r="K10" s="45">
        <f t="shared" si="1"/>
        <v>0</v>
      </c>
      <c r="L10" s="9">
        <f t="shared" si="2"/>
        <v>135344.22559740001</v>
      </c>
      <c r="M10" s="26"/>
      <c r="N10" s="26">
        <f t="shared" si="4"/>
        <v>492729.23712120345</v>
      </c>
      <c r="O10" s="26">
        <f t="shared" si="3"/>
        <v>522292.99134847568</v>
      </c>
    </row>
    <row r="11" spans="1:17" x14ac:dyDescent="0.25">
      <c r="A11" s="2" t="s">
        <v>19</v>
      </c>
      <c r="B11" s="2"/>
      <c r="C11" s="38" t="s">
        <v>52</v>
      </c>
      <c r="D11" s="38" t="s">
        <v>87</v>
      </c>
      <c r="E11" s="38"/>
      <c r="F11" s="2">
        <v>3.34</v>
      </c>
      <c r="G11" s="32">
        <v>130293.38296599999</v>
      </c>
      <c r="H11" s="33">
        <f>G11*2</f>
        <v>260586.76593199998</v>
      </c>
      <c r="I11" s="16" t="s">
        <v>124</v>
      </c>
      <c r="J11" s="10">
        <f t="shared" si="0"/>
        <v>130293.38296599999</v>
      </c>
      <c r="K11" s="45">
        <f t="shared" si="1"/>
        <v>0</v>
      </c>
      <c r="L11" s="9">
        <f t="shared" si="2"/>
        <v>132178.2787998</v>
      </c>
      <c r="M11" s="26"/>
      <c r="N11" s="26">
        <f t="shared" si="4"/>
        <v>1884.8958338000084</v>
      </c>
      <c r="O11" s="26">
        <f t="shared" si="3"/>
        <v>1997.989583828009</v>
      </c>
    </row>
    <row r="12" spans="1:17" x14ac:dyDescent="0.25">
      <c r="A12" s="2" t="s">
        <v>20</v>
      </c>
      <c r="B12" s="2"/>
      <c r="C12" s="38" t="s">
        <v>53</v>
      </c>
      <c r="D12" s="38" t="s">
        <v>148</v>
      </c>
      <c r="E12" s="38"/>
      <c r="F12" s="2">
        <v>3.33</v>
      </c>
      <c r="G12" s="32">
        <v>129901.77046380006</v>
      </c>
      <c r="H12" s="33">
        <f>G12</f>
        <v>129901.77046380006</v>
      </c>
      <c r="I12" s="16" t="s">
        <v>124</v>
      </c>
      <c r="J12" s="10">
        <f t="shared" si="0"/>
        <v>0</v>
      </c>
      <c r="K12" s="45">
        <f t="shared" si="1"/>
        <v>0</v>
      </c>
      <c r="L12" s="9">
        <f t="shared" si="2"/>
        <v>131782.53545010003</v>
      </c>
      <c r="M12" s="26"/>
      <c r="N12" s="26">
        <f t="shared" si="4"/>
        <v>131782.53545010003</v>
      </c>
      <c r="O12" s="26">
        <f t="shared" si="3"/>
        <v>139689.48757710602</v>
      </c>
    </row>
    <row r="13" spans="1:17" x14ac:dyDescent="0.25">
      <c r="A13" s="2" t="s">
        <v>20</v>
      </c>
      <c r="B13" s="2"/>
      <c r="C13" s="38" t="s">
        <v>54</v>
      </c>
      <c r="D13" s="38" t="s">
        <v>88</v>
      </c>
      <c r="E13" s="38"/>
      <c r="F13" s="2">
        <v>3.32</v>
      </c>
      <c r="G13" s="32">
        <v>129513.183068</v>
      </c>
      <c r="H13" s="33"/>
      <c r="I13" s="16" t="s">
        <v>124</v>
      </c>
      <c r="J13" s="10">
        <f t="shared" si="0"/>
        <v>-129513.183068</v>
      </c>
      <c r="K13" s="45">
        <f t="shared" si="1"/>
        <v>0</v>
      </c>
      <c r="L13" s="9">
        <f t="shared" si="2"/>
        <v>131386.79210039999</v>
      </c>
      <c r="M13" s="26"/>
      <c r="N13" s="26">
        <f t="shared" si="4"/>
        <v>260899.97516839998</v>
      </c>
      <c r="O13" s="26">
        <f t="shared" si="3"/>
        <v>276553.973678504</v>
      </c>
    </row>
    <row r="14" spans="1:17" x14ac:dyDescent="0.25">
      <c r="A14" s="2" t="s">
        <v>21</v>
      </c>
      <c r="B14" s="2"/>
      <c r="C14" s="38" t="s">
        <v>55</v>
      </c>
      <c r="D14" s="38" t="s">
        <v>89</v>
      </c>
      <c r="E14" s="38"/>
      <c r="F14" s="2">
        <v>3.33</v>
      </c>
      <c r="G14" s="32">
        <v>129903.28301700001</v>
      </c>
      <c r="H14" s="33">
        <f>G14</f>
        <v>129903.28301700001</v>
      </c>
      <c r="I14" s="16" t="s">
        <v>124</v>
      </c>
      <c r="J14" s="10">
        <f t="shared" si="0"/>
        <v>0</v>
      </c>
      <c r="K14" s="45">
        <f t="shared" si="1"/>
        <v>0</v>
      </c>
      <c r="L14" s="9">
        <f t="shared" si="2"/>
        <v>131782.53545010003</v>
      </c>
      <c r="M14" s="26"/>
      <c r="N14" s="26">
        <f t="shared" si="4"/>
        <v>131782.53545010003</v>
      </c>
      <c r="O14" s="26">
        <f t="shared" si="3"/>
        <v>139689.48757710602</v>
      </c>
    </row>
    <row r="15" spans="1:17" x14ac:dyDescent="0.25">
      <c r="A15" s="2" t="s">
        <v>21</v>
      </c>
      <c r="B15" s="2"/>
      <c r="C15" s="38" t="s">
        <v>56</v>
      </c>
      <c r="D15" s="38" t="s">
        <v>90</v>
      </c>
      <c r="E15" s="38" t="s">
        <v>152</v>
      </c>
      <c r="F15" s="2">
        <v>3.24</v>
      </c>
      <c r="G15" s="32">
        <v>202927.35483480475</v>
      </c>
      <c r="H15" s="33">
        <v>126392</v>
      </c>
      <c r="I15" s="16" t="s">
        <v>124</v>
      </c>
      <c r="J15" s="10">
        <f t="shared" si="0"/>
        <v>-76535.354834804748</v>
      </c>
      <c r="K15" s="45">
        <f t="shared" si="1"/>
        <v>0</v>
      </c>
      <c r="L15" s="9">
        <f t="shared" si="2"/>
        <v>128220.84530280002</v>
      </c>
      <c r="M15" s="26"/>
      <c r="N15" s="26">
        <f t="shared" si="4"/>
        <v>204756.20013760478</v>
      </c>
      <c r="O15" s="26">
        <f t="shared" si="3"/>
        <v>217041.57214586108</v>
      </c>
    </row>
    <row r="16" spans="1:17" x14ac:dyDescent="0.25">
      <c r="A16" s="2" t="s">
        <v>22</v>
      </c>
      <c r="B16" s="2"/>
      <c r="C16" s="38" t="s">
        <v>57</v>
      </c>
      <c r="D16" s="38" t="s">
        <v>91</v>
      </c>
      <c r="E16" s="38" t="s">
        <v>140</v>
      </c>
      <c r="F16" s="2">
        <v>3.33</v>
      </c>
      <c r="G16" s="32">
        <v>248600.90487870004</v>
      </c>
      <c r="H16" s="33"/>
      <c r="I16" s="16" t="s">
        <v>124</v>
      </c>
      <c r="J16" s="10">
        <f t="shared" si="0"/>
        <v>-248600.90487870004</v>
      </c>
      <c r="K16" s="45">
        <f t="shared" si="1"/>
        <v>0</v>
      </c>
      <c r="L16" s="9">
        <f t="shared" si="2"/>
        <v>131782.53545010003</v>
      </c>
      <c r="M16" s="26"/>
      <c r="N16" s="26">
        <f>L16+K16-J16+M16</f>
        <v>380383.44032880006</v>
      </c>
      <c r="O16" s="26">
        <f t="shared" si="3"/>
        <v>403206.44674852805</v>
      </c>
    </row>
    <row r="17" spans="1:18" x14ac:dyDescent="0.25">
      <c r="A17" s="2" t="s">
        <v>22</v>
      </c>
      <c r="B17" s="2"/>
      <c r="C17" s="38" t="s">
        <v>58</v>
      </c>
      <c r="D17" s="38" t="s">
        <v>92</v>
      </c>
      <c r="E17" s="38"/>
      <c r="F17" s="2">
        <v>3.32</v>
      </c>
      <c r="G17" s="32">
        <v>129513.183068</v>
      </c>
      <c r="H17" s="33">
        <f>G17</f>
        <v>129513.183068</v>
      </c>
      <c r="I17" s="16" t="s">
        <v>124</v>
      </c>
      <c r="J17" s="10">
        <f t="shared" si="0"/>
        <v>0</v>
      </c>
      <c r="K17" s="45">
        <f t="shared" si="1"/>
        <v>0</v>
      </c>
      <c r="L17" s="9">
        <f t="shared" si="2"/>
        <v>131386.79210039999</v>
      </c>
      <c r="M17" s="26"/>
      <c r="N17" s="26">
        <f t="shared" si="4"/>
        <v>131386.79210039999</v>
      </c>
      <c r="O17" s="26">
        <f t="shared" si="3"/>
        <v>139269.99962642399</v>
      </c>
    </row>
    <row r="18" spans="1:18" x14ac:dyDescent="0.25">
      <c r="A18" s="2" t="s">
        <v>23</v>
      </c>
      <c r="B18" s="2"/>
      <c r="C18" s="38" t="s">
        <v>59</v>
      </c>
      <c r="D18" s="38" t="s">
        <v>93</v>
      </c>
      <c r="E18" s="38"/>
      <c r="F18" s="2">
        <v>3.33</v>
      </c>
      <c r="G18" s="32">
        <v>129903.28301700001</v>
      </c>
      <c r="H18" s="33">
        <f>30000</f>
        <v>30000</v>
      </c>
      <c r="I18" s="16" t="s">
        <v>124</v>
      </c>
      <c r="J18" s="10">
        <f t="shared" si="0"/>
        <v>-99903.283017000009</v>
      </c>
      <c r="K18" s="45">
        <f t="shared" si="1"/>
        <v>0</v>
      </c>
      <c r="L18" s="9">
        <f t="shared" si="2"/>
        <v>131782.53545010003</v>
      </c>
      <c r="M18" s="26"/>
      <c r="N18" s="26">
        <f t="shared" si="4"/>
        <v>231685.81846710003</v>
      </c>
      <c r="O18" s="26">
        <f t="shared" si="3"/>
        <v>245586.96757512604</v>
      </c>
    </row>
    <row r="19" spans="1:18" x14ac:dyDescent="0.25">
      <c r="A19" s="2" t="s">
        <v>23</v>
      </c>
      <c r="B19" s="2"/>
      <c r="C19" s="38" t="s">
        <v>60</v>
      </c>
      <c r="D19" s="38" t="s">
        <v>94</v>
      </c>
      <c r="E19" s="38"/>
      <c r="F19" s="2">
        <v>3.24</v>
      </c>
      <c r="G19" s="32">
        <v>127281.4433003724</v>
      </c>
      <c r="H19" s="33">
        <f>191150-H32</f>
        <v>127173.60836400001</v>
      </c>
      <c r="I19" s="16" t="s">
        <v>124</v>
      </c>
      <c r="J19" s="10">
        <f t="shared" si="0"/>
        <v>-107.8349363723828</v>
      </c>
      <c r="K19" s="45">
        <f t="shared" si="1"/>
        <v>0</v>
      </c>
      <c r="L19" s="9">
        <f t="shared" si="2"/>
        <v>128220.84530280002</v>
      </c>
      <c r="M19" s="26"/>
      <c r="N19" s="26">
        <f t="shared" si="4"/>
        <v>128328.6802391724</v>
      </c>
      <c r="O19" s="26">
        <f t="shared" si="3"/>
        <v>136028.40105352274</v>
      </c>
    </row>
    <row r="20" spans="1:18" x14ac:dyDescent="0.25">
      <c r="A20" s="2" t="s">
        <v>24</v>
      </c>
      <c r="B20" s="2"/>
      <c r="C20" s="38" t="s">
        <v>61</v>
      </c>
      <c r="D20" s="38" t="s">
        <v>95</v>
      </c>
      <c r="E20" s="38" t="s">
        <v>142</v>
      </c>
      <c r="F20" s="2">
        <v>3.33</v>
      </c>
      <c r="G20" s="32">
        <v>129903.28301700001</v>
      </c>
      <c r="H20" s="33">
        <v>130000</v>
      </c>
      <c r="I20" s="16" t="s">
        <v>124</v>
      </c>
      <c r="J20" s="10">
        <f t="shared" si="0"/>
        <v>96.71698299999116</v>
      </c>
      <c r="K20" s="45">
        <f t="shared" si="1"/>
        <v>0</v>
      </c>
      <c r="L20" s="9">
        <f t="shared" si="2"/>
        <v>131782.53545010003</v>
      </c>
      <c r="M20" s="26"/>
      <c r="N20" s="26">
        <f t="shared" si="4"/>
        <v>131685.81846710003</v>
      </c>
      <c r="O20" s="26">
        <f t="shared" si="3"/>
        <v>139586.96757512604</v>
      </c>
    </row>
    <row r="21" spans="1:18" x14ac:dyDescent="0.25">
      <c r="A21" s="2" t="s">
        <v>24</v>
      </c>
      <c r="B21" s="2"/>
      <c r="C21" s="38" t="s">
        <v>62</v>
      </c>
      <c r="D21" s="38" t="s">
        <v>96</v>
      </c>
      <c r="E21" s="38" t="s">
        <v>139</v>
      </c>
      <c r="F21" s="2">
        <v>3.32</v>
      </c>
      <c r="G21" s="32">
        <v>347544.71647925611</v>
      </c>
      <c r="H21" s="33">
        <f>150000-H35</f>
        <v>86023.608364000014</v>
      </c>
      <c r="I21" s="16" t="s">
        <v>156</v>
      </c>
      <c r="J21" s="10">
        <f>H21-G21</f>
        <v>-261521.10811525609</v>
      </c>
      <c r="K21" s="45">
        <f t="shared" si="1"/>
        <v>0</v>
      </c>
      <c r="L21" s="9">
        <f t="shared" si="2"/>
        <v>131386.79210039999</v>
      </c>
      <c r="M21" s="26"/>
      <c r="N21" s="26">
        <f t="shared" si="4"/>
        <v>392907.90021565609</v>
      </c>
      <c r="O21" s="26">
        <f t="shared" si="3"/>
        <v>416482.37422859546</v>
      </c>
    </row>
    <row r="22" spans="1:18" x14ac:dyDescent="0.25">
      <c r="A22" s="2" t="s">
        <v>25</v>
      </c>
      <c r="B22" s="2"/>
      <c r="C22" s="38" t="s">
        <v>63</v>
      </c>
      <c r="D22" s="38" t="s">
        <v>97</v>
      </c>
      <c r="E22" s="38"/>
      <c r="F22" s="2">
        <v>3.33</v>
      </c>
      <c r="G22" s="16">
        <v>1336756.914413549</v>
      </c>
      <c r="H22" s="33"/>
      <c r="I22" s="16" t="s">
        <v>124</v>
      </c>
      <c r="J22" s="48">
        <f t="shared" si="0"/>
        <v>-1336756.914413549</v>
      </c>
      <c r="K22" s="45">
        <f t="shared" si="1"/>
        <v>0</v>
      </c>
      <c r="L22" s="9">
        <f t="shared" si="2"/>
        <v>131782.53545010003</v>
      </c>
      <c r="M22" s="26"/>
      <c r="N22" s="26">
        <f t="shared" si="4"/>
        <v>1468539.449863649</v>
      </c>
      <c r="O22" s="26">
        <f t="shared" si="3"/>
        <v>1556651.8168554679</v>
      </c>
      <c r="R22" s="34"/>
    </row>
    <row r="23" spans="1:18" x14ac:dyDescent="0.25">
      <c r="A23" s="2" t="s">
        <v>25</v>
      </c>
      <c r="B23" s="2"/>
      <c r="C23" s="38" t="s">
        <v>64</v>
      </c>
      <c r="D23" s="38" t="s">
        <v>98</v>
      </c>
      <c r="E23" s="38"/>
      <c r="F23" s="2">
        <v>3.24</v>
      </c>
      <c r="G23" s="32">
        <v>133965.32648456001</v>
      </c>
      <c r="H23" s="33">
        <f>133966</f>
        <v>133966</v>
      </c>
      <c r="I23" s="16" t="s">
        <v>143</v>
      </c>
      <c r="J23" s="10">
        <f t="shared" si="0"/>
        <v>0.67351543999393471</v>
      </c>
      <c r="K23" s="45">
        <f t="shared" si="1"/>
        <v>0</v>
      </c>
      <c r="L23" s="9">
        <f t="shared" si="2"/>
        <v>128220.84530280002</v>
      </c>
      <c r="M23" s="26"/>
      <c r="N23" s="26">
        <f t="shared" si="4"/>
        <v>128220.17178736003</v>
      </c>
      <c r="O23" s="26">
        <f t="shared" si="3"/>
        <v>135913.38209460163</v>
      </c>
    </row>
    <row r="24" spans="1:18" x14ac:dyDescent="0.25">
      <c r="A24" s="2" t="s">
        <v>26</v>
      </c>
      <c r="B24" s="2"/>
      <c r="C24" s="38" t="s">
        <v>65</v>
      </c>
      <c r="D24" s="38" t="s">
        <v>99</v>
      </c>
      <c r="E24" s="38"/>
      <c r="F24" s="2">
        <v>3.24</v>
      </c>
      <c r="G24" s="32">
        <v>126392.38347600002</v>
      </c>
      <c r="H24" s="33">
        <v>134000</v>
      </c>
      <c r="I24" s="16" t="s">
        <v>124</v>
      </c>
      <c r="J24" s="10">
        <f t="shared" si="0"/>
        <v>7607.6165239999827</v>
      </c>
      <c r="K24" s="45">
        <f t="shared" si="1"/>
        <v>0</v>
      </c>
      <c r="L24" s="9">
        <f t="shared" si="2"/>
        <v>128220.84530280002</v>
      </c>
      <c r="M24" s="26"/>
      <c r="N24" s="26">
        <f t="shared" si="4"/>
        <v>120613.22877880004</v>
      </c>
      <c r="O24" s="26">
        <f t="shared" si="3"/>
        <v>127850.02250552805</v>
      </c>
    </row>
    <row r="25" spans="1:18" x14ac:dyDescent="0.25">
      <c r="A25" s="2" t="s">
        <v>26</v>
      </c>
      <c r="B25" s="2"/>
      <c r="C25" s="38" t="s">
        <v>66</v>
      </c>
      <c r="D25" s="38" t="s">
        <v>100</v>
      </c>
      <c r="E25" s="38" t="s">
        <v>141</v>
      </c>
      <c r="F25" s="2">
        <v>3.32</v>
      </c>
      <c r="G25" s="32">
        <v>126005.40257120003</v>
      </c>
      <c r="H25" s="33">
        <f>190000-H33</f>
        <v>126023.60836400001</v>
      </c>
      <c r="I25" s="16" t="s">
        <v>124</v>
      </c>
      <c r="J25" s="10">
        <f t="shared" si="0"/>
        <v>18.20579279998492</v>
      </c>
      <c r="K25" s="45">
        <f t="shared" si="1"/>
        <v>0</v>
      </c>
      <c r="L25" s="9">
        <f t="shared" si="2"/>
        <v>131386.79210039999</v>
      </c>
      <c r="M25" s="26"/>
      <c r="N25" s="26">
        <f t="shared" si="4"/>
        <v>131368.58630760002</v>
      </c>
      <c r="O25" s="26">
        <f t="shared" si="3"/>
        <v>139250.70148605603</v>
      </c>
    </row>
    <row r="26" spans="1:18" x14ac:dyDescent="0.25">
      <c r="A26" s="2" t="s">
        <v>27</v>
      </c>
      <c r="B26" s="2"/>
      <c r="C26" s="38" t="s">
        <v>67</v>
      </c>
      <c r="D26" s="38" t="s">
        <v>101</v>
      </c>
      <c r="E26" s="38" t="s">
        <v>135</v>
      </c>
      <c r="F26" s="2">
        <v>3.33</v>
      </c>
      <c r="G26" s="33">
        <v>129903.28301700001</v>
      </c>
      <c r="H26" s="33">
        <f>G26</f>
        <v>129903.28301700001</v>
      </c>
      <c r="I26" s="16" t="s">
        <v>124</v>
      </c>
      <c r="J26" s="10">
        <f t="shared" si="0"/>
        <v>0</v>
      </c>
      <c r="K26" s="45">
        <f t="shared" si="1"/>
        <v>0</v>
      </c>
      <c r="L26" s="9">
        <f t="shared" si="2"/>
        <v>131782.53545010003</v>
      </c>
      <c r="M26" s="26"/>
      <c r="N26" s="26">
        <f t="shared" si="4"/>
        <v>131782.53545010003</v>
      </c>
      <c r="O26" s="26">
        <f t="shared" si="3"/>
        <v>139689.48757710602</v>
      </c>
    </row>
    <row r="27" spans="1:18" x14ac:dyDescent="0.25">
      <c r="A27" s="2" t="s">
        <v>28</v>
      </c>
      <c r="B27" s="2"/>
      <c r="C27" s="38" t="s">
        <v>68</v>
      </c>
      <c r="D27" s="38" t="s">
        <v>102</v>
      </c>
      <c r="E27" s="38" t="s">
        <v>136</v>
      </c>
      <c r="F27" s="2">
        <v>3.24</v>
      </c>
      <c r="G27" s="32">
        <v>241880.7598116342</v>
      </c>
      <c r="H27" s="33">
        <v>120500</v>
      </c>
      <c r="I27" s="16" t="s">
        <v>156</v>
      </c>
      <c r="J27" s="10">
        <f t="shared" si="0"/>
        <v>-121380.7598116342</v>
      </c>
      <c r="K27" s="45">
        <f t="shared" si="1"/>
        <v>0</v>
      </c>
      <c r="L27" s="9">
        <f t="shared" si="2"/>
        <v>128220.84530280002</v>
      </c>
      <c r="M27" s="26"/>
      <c r="N27" s="26">
        <f t="shared" si="4"/>
        <v>249601.60511443421</v>
      </c>
      <c r="O27" s="26">
        <f t="shared" si="3"/>
        <v>264577.70142130024</v>
      </c>
    </row>
    <row r="28" spans="1:18" x14ac:dyDescent="0.25">
      <c r="A28" s="2" t="s">
        <v>29</v>
      </c>
      <c r="B28" s="2"/>
      <c r="C28" s="38" t="s">
        <v>69</v>
      </c>
      <c r="D28" s="38" t="s">
        <v>103</v>
      </c>
      <c r="E28" s="38"/>
      <c r="F28" s="2">
        <v>3.33</v>
      </c>
      <c r="G28" s="32">
        <v>129903.28301700001</v>
      </c>
      <c r="H28" s="33">
        <f>G28</f>
        <v>129903.28301700001</v>
      </c>
      <c r="I28" s="16" t="s">
        <v>125</v>
      </c>
      <c r="J28" s="10">
        <f t="shared" si="0"/>
        <v>0</v>
      </c>
      <c r="K28" s="45">
        <f t="shared" si="1"/>
        <v>0</v>
      </c>
      <c r="L28" s="9">
        <f t="shared" si="2"/>
        <v>131782.53545010003</v>
      </c>
      <c r="M28" s="26"/>
      <c r="N28" s="26">
        <f t="shared" si="4"/>
        <v>131782.53545010003</v>
      </c>
      <c r="O28" s="26">
        <f t="shared" si="3"/>
        <v>139689.48757710602</v>
      </c>
    </row>
    <row r="29" spans="1:18" x14ac:dyDescent="0.25">
      <c r="A29" s="2" t="s">
        <v>30</v>
      </c>
      <c r="B29" s="2"/>
      <c r="C29" s="38" t="s">
        <v>70</v>
      </c>
      <c r="D29" s="38" t="s">
        <v>104</v>
      </c>
      <c r="E29" s="38" t="s">
        <v>137</v>
      </c>
      <c r="F29" s="2">
        <v>3.32</v>
      </c>
      <c r="G29" s="32">
        <v>129513.183068</v>
      </c>
      <c r="H29" s="33"/>
      <c r="I29" s="16" t="s">
        <v>124</v>
      </c>
      <c r="J29" s="10">
        <f t="shared" si="0"/>
        <v>-129513.183068</v>
      </c>
      <c r="K29" s="45">
        <f t="shared" si="1"/>
        <v>0</v>
      </c>
      <c r="L29" s="9">
        <f t="shared" si="2"/>
        <v>131386.79210039999</v>
      </c>
      <c r="M29" s="26"/>
      <c r="N29" s="26">
        <f t="shared" si="4"/>
        <v>260899.97516839998</v>
      </c>
      <c r="O29" s="26">
        <f t="shared" si="3"/>
        <v>276553.973678504</v>
      </c>
    </row>
    <row r="30" spans="1:18" x14ac:dyDescent="0.25">
      <c r="A30" s="8" t="s">
        <v>36</v>
      </c>
      <c r="B30" s="2"/>
      <c r="C30" s="38" t="s">
        <v>71</v>
      </c>
      <c r="D30" s="38" t="s">
        <v>105</v>
      </c>
      <c r="E30" s="38" t="s">
        <v>138</v>
      </c>
      <c r="F30" s="2">
        <v>3.33</v>
      </c>
      <c r="G30" s="32">
        <v>248600.90487870004</v>
      </c>
      <c r="H30" s="33">
        <f>118698+129903</f>
        <v>248601</v>
      </c>
      <c r="I30" s="16" t="s">
        <v>124</v>
      </c>
      <c r="J30" s="10">
        <f t="shared" si="0"/>
        <v>9.5121299964375794E-2</v>
      </c>
      <c r="K30" s="45">
        <f t="shared" si="1"/>
        <v>0</v>
      </c>
      <c r="L30" s="9">
        <f t="shared" si="2"/>
        <v>131782.53545010003</v>
      </c>
      <c r="M30" s="26"/>
      <c r="N30" s="26">
        <f t="shared" si="4"/>
        <v>131782.44032880006</v>
      </c>
      <c r="O30" s="26">
        <f t="shared" si="3"/>
        <v>139689.38674852805</v>
      </c>
    </row>
    <row r="31" spans="1:18" x14ac:dyDescent="0.25">
      <c r="A31" s="8" t="s">
        <v>36</v>
      </c>
      <c r="B31" s="2"/>
      <c r="C31" s="38" t="s">
        <v>72</v>
      </c>
      <c r="D31" s="38" t="s">
        <v>106</v>
      </c>
      <c r="E31" s="40"/>
      <c r="F31" s="2">
        <v>3.24</v>
      </c>
      <c r="G31" s="32">
        <v>940029.57485289313</v>
      </c>
      <c r="H31" s="33">
        <v>305750</v>
      </c>
      <c r="I31" s="16" t="s">
        <v>124</v>
      </c>
      <c r="J31" s="10">
        <f t="shared" si="0"/>
        <v>-634279.57485289313</v>
      </c>
      <c r="K31" s="45">
        <f t="shared" si="1"/>
        <v>0</v>
      </c>
      <c r="L31" s="9">
        <f t="shared" si="2"/>
        <v>128220.84530280002</v>
      </c>
      <c r="M31" s="26"/>
      <c r="N31" s="26">
        <f>L31+K31-J31+M31</f>
        <v>762500.42015569319</v>
      </c>
      <c r="O31" s="26">
        <f t="shared" si="3"/>
        <v>808250.44536503474</v>
      </c>
    </row>
    <row r="32" spans="1:18" x14ac:dyDescent="0.25">
      <c r="A32" s="8" t="s">
        <v>36</v>
      </c>
      <c r="B32" s="2"/>
      <c r="C32" s="38" t="s">
        <v>73</v>
      </c>
      <c r="D32" s="38" t="s">
        <v>94</v>
      </c>
      <c r="E32" s="38"/>
      <c r="F32" s="2">
        <v>1.64</v>
      </c>
      <c r="G32" s="32">
        <v>63976.391635999986</v>
      </c>
      <c r="H32" s="33">
        <f>G32</f>
        <v>63976.391635999986</v>
      </c>
      <c r="I32" s="16" t="s">
        <v>124</v>
      </c>
      <c r="J32" s="10">
        <f t="shared" si="0"/>
        <v>0</v>
      </c>
      <c r="K32" s="45">
        <f t="shared" si="1"/>
        <v>0</v>
      </c>
      <c r="L32" s="9">
        <f t="shared" si="2"/>
        <v>64901.909350799993</v>
      </c>
      <c r="M32" s="26"/>
      <c r="N32" s="26">
        <f t="shared" si="4"/>
        <v>64901.909350799993</v>
      </c>
      <c r="O32" s="26">
        <f t="shared" si="3"/>
        <v>68796.023911847995</v>
      </c>
    </row>
    <row r="33" spans="1:15" x14ac:dyDescent="0.25">
      <c r="A33" s="8" t="s">
        <v>36</v>
      </c>
      <c r="B33" s="2"/>
      <c r="C33" s="38" t="s">
        <v>74</v>
      </c>
      <c r="D33" s="38" t="s">
        <v>100</v>
      </c>
      <c r="E33" s="38"/>
      <c r="F33" s="2">
        <v>1.64</v>
      </c>
      <c r="G33" s="32">
        <v>63976.391635999986</v>
      </c>
      <c r="H33" s="33">
        <f>G33</f>
        <v>63976.391635999986</v>
      </c>
      <c r="I33" s="16" t="s">
        <v>124</v>
      </c>
      <c r="J33" s="10">
        <f t="shared" si="0"/>
        <v>0</v>
      </c>
      <c r="K33" s="45">
        <f t="shared" si="1"/>
        <v>0</v>
      </c>
      <c r="L33" s="9">
        <f t="shared" si="2"/>
        <v>64901.909350799993</v>
      </c>
      <c r="M33" s="26"/>
      <c r="N33" s="26">
        <f t="shared" si="4"/>
        <v>64901.909350799993</v>
      </c>
      <c r="O33" s="26">
        <f t="shared" si="3"/>
        <v>68796.023911847995</v>
      </c>
    </row>
    <row r="34" spans="1:15" x14ac:dyDescent="0.25">
      <c r="A34" s="8" t="s">
        <v>36</v>
      </c>
      <c r="B34" s="2"/>
      <c r="C34" s="38" t="s">
        <v>75</v>
      </c>
      <c r="D34" s="38" t="s">
        <v>85</v>
      </c>
      <c r="E34" s="38" t="s">
        <v>147</v>
      </c>
      <c r="F34" s="2">
        <v>1.64</v>
      </c>
      <c r="G34" s="32">
        <v>126577.70191016732</v>
      </c>
      <c r="H34" s="33">
        <v>64000</v>
      </c>
      <c r="I34" s="16" t="s">
        <v>124</v>
      </c>
      <c r="J34" s="10">
        <f t="shared" si="0"/>
        <v>-62577.701910167321</v>
      </c>
      <c r="K34" s="45">
        <f t="shared" si="1"/>
        <v>0</v>
      </c>
      <c r="L34" s="9">
        <f t="shared" si="2"/>
        <v>64901.909350799993</v>
      </c>
      <c r="M34" s="26"/>
      <c r="N34" s="26">
        <f t="shared" si="4"/>
        <v>127479.61126096731</v>
      </c>
      <c r="O34" s="26">
        <f t="shared" si="3"/>
        <v>135128.38793662534</v>
      </c>
    </row>
    <row r="35" spans="1:15" x14ac:dyDescent="0.25">
      <c r="A35" s="8" t="s">
        <v>36</v>
      </c>
      <c r="B35" s="2"/>
      <c r="C35" s="38" t="s">
        <v>76</v>
      </c>
      <c r="D35" s="38" t="s">
        <v>107</v>
      </c>
      <c r="E35" s="38" t="s">
        <v>139</v>
      </c>
      <c r="F35" s="2">
        <v>1.64</v>
      </c>
      <c r="G35" s="32">
        <v>63976.391635999986</v>
      </c>
      <c r="H35" s="33">
        <f>G35</f>
        <v>63976.391635999986</v>
      </c>
      <c r="I35" s="16" t="s">
        <v>124</v>
      </c>
      <c r="J35" s="10">
        <f t="shared" si="0"/>
        <v>0</v>
      </c>
      <c r="K35" s="45">
        <f t="shared" si="1"/>
        <v>0</v>
      </c>
      <c r="L35" s="9">
        <f t="shared" si="2"/>
        <v>64901.909350799993</v>
      </c>
      <c r="M35" s="26"/>
      <c r="N35" s="26">
        <f t="shared" si="4"/>
        <v>64901.909350799993</v>
      </c>
      <c r="O35" s="26">
        <f t="shared" si="3"/>
        <v>68796.023911847995</v>
      </c>
    </row>
    <row r="36" spans="1:15" x14ac:dyDescent="0.25">
      <c r="A36" s="8" t="s">
        <v>36</v>
      </c>
      <c r="B36" s="2"/>
      <c r="C36" s="38" t="s">
        <v>77</v>
      </c>
      <c r="D36" s="38" t="s">
        <v>108</v>
      </c>
      <c r="E36" s="38"/>
      <c r="F36" s="2">
        <v>1.64</v>
      </c>
      <c r="G36" s="32">
        <v>63976.391635999986</v>
      </c>
      <c r="H36" s="33">
        <f>G36</f>
        <v>63976.391635999986</v>
      </c>
      <c r="I36" s="16" t="s">
        <v>143</v>
      </c>
      <c r="J36" s="10">
        <f t="shared" si="0"/>
        <v>0</v>
      </c>
      <c r="K36" s="45">
        <f t="shared" si="1"/>
        <v>0</v>
      </c>
      <c r="L36" s="9">
        <f t="shared" si="2"/>
        <v>64901.909350799993</v>
      </c>
      <c r="M36" s="26"/>
      <c r="N36" s="26">
        <f t="shared" si="4"/>
        <v>64901.909350799993</v>
      </c>
      <c r="O36" s="26">
        <f t="shared" si="3"/>
        <v>68796.023911847995</v>
      </c>
    </row>
    <row r="37" spans="1:15" x14ac:dyDescent="0.25">
      <c r="A37" s="8" t="s">
        <v>36</v>
      </c>
      <c r="B37" s="2"/>
      <c r="C37" s="38" t="s">
        <v>78</v>
      </c>
      <c r="D37" s="38" t="s">
        <v>103</v>
      </c>
      <c r="E37" s="38"/>
      <c r="F37" s="2">
        <v>1.64</v>
      </c>
      <c r="G37" s="32">
        <v>63976.391635999986</v>
      </c>
      <c r="H37" s="33">
        <f>G37</f>
        <v>63976.391635999986</v>
      </c>
      <c r="I37" s="16" t="s">
        <v>125</v>
      </c>
      <c r="J37" s="10">
        <f t="shared" si="0"/>
        <v>0</v>
      </c>
      <c r="K37" s="45">
        <f t="shared" si="1"/>
        <v>0</v>
      </c>
      <c r="L37" s="9">
        <f t="shared" si="2"/>
        <v>64901.909350799993</v>
      </c>
      <c r="M37" s="26"/>
      <c r="N37" s="26">
        <f t="shared" si="4"/>
        <v>64901.909350799993</v>
      </c>
      <c r="O37" s="26">
        <f t="shared" si="3"/>
        <v>68796.023911847995</v>
      </c>
    </row>
    <row r="38" spans="1:15" x14ac:dyDescent="0.25">
      <c r="A38" s="8" t="s">
        <v>36</v>
      </c>
      <c r="B38" s="2"/>
      <c r="C38" s="38" t="s">
        <v>79</v>
      </c>
      <c r="D38" s="38" t="s">
        <v>97</v>
      </c>
      <c r="E38" s="38"/>
      <c r="F38" s="2">
        <v>1.64</v>
      </c>
      <c r="G38" s="32">
        <v>658342.75010156771</v>
      </c>
      <c r="H38" s="33"/>
      <c r="I38" s="16" t="s">
        <v>124</v>
      </c>
      <c r="J38" s="10">
        <f t="shared" si="0"/>
        <v>-658342.75010156771</v>
      </c>
      <c r="K38" s="45">
        <f t="shared" si="1"/>
        <v>0</v>
      </c>
      <c r="L38" s="9">
        <f t="shared" si="2"/>
        <v>64901.909350799993</v>
      </c>
      <c r="M38" s="26"/>
      <c r="N38" s="26">
        <f t="shared" si="4"/>
        <v>723244.65945236769</v>
      </c>
      <c r="O38" s="26">
        <f t="shared" si="3"/>
        <v>766639.33901950973</v>
      </c>
    </row>
    <row r="39" spans="1:15" x14ac:dyDescent="0.25">
      <c r="A39" s="8" t="s">
        <v>36</v>
      </c>
      <c r="B39" s="2"/>
      <c r="C39" s="38" t="s">
        <v>80</v>
      </c>
      <c r="D39" s="38" t="s">
        <v>109</v>
      </c>
      <c r="E39" s="38"/>
      <c r="F39" s="2">
        <v>1.64</v>
      </c>
      <c r="G39" s="32">
        <v>63976.391635999986</v>
      </c>
      <c r="H39" s="33">
        <f>G39</f>
        <v>63976.391635999986</v>
      </c>
      <c r="I39" s="16" t="s">
        <v>124</v>
      </c>
      <c r="J39" s="10">
        <f t="shared" si="0"/>
        <v>0</v>
      </c>
      <c r="K39" s="45">
        <f t="shared" si="1"/>
        <v>0</v>
      </c>
      <c r="L39" s="9">
        <f t="shared" si="2"/>
        <v>64901.909350799993</v>
      </c>
      <c r="M39" s="26"/>
      <c r="N39" s="26">
        <f t="shared" si="4"/>
        <v>64901.909350799993</v>
      </c>
      <c r="O39" s="26">
        <f t="shared" si="3"/>
        <v>68796.023911847995</v>
      </c>
    </row>
    <row r="40" spans="1:15" x14ac:dyDescent="0.25">
      <c r="A40" s="8" t="s">
        <v>36</v>
      </c>
      <c r="B40" s="2"/>
      <c r="C40" s="38" t="s">
        <v>81</v>
      </c>
      <c r="D40" s="38" t="s">
        <v>107</v>
      </c>
      <c r="E40" s="38" t="s">
        <v>157</v>
      </c>
      <c r="F40" s="2">
        <v>1.64</v>
      </c>
      <c r="G40" s="32">
        <v>63976.391635999986</v>
      </c>
      <c r="H40" s="33">
        <f>G40</f>
        <v>63976.391635999986</v>
      </c>
      <c r="I40" s="16" t="s">
        <v>143</v>
      </c>
      <c r="J40" s="10">
        <f t="shared" si="0"/>
        <v>0</v>
      </c>
      <c r="K40" s="45">
        <f t="shared" si="1"/>
        <v>0</v>
      </c>
      <c r="L40" s="9">
        <f t="shared" si="2"/>
        <v>64901.909350799993</v>
      </c>
      <c r="M40" s="26"/>
      <c r="N40" s="26">
        <f t="shared" si="4"/>
        <v>64901.909350799993</v>
      </c>
      <c r="O40" s="26">
        <f t="shared" si="3"/>
        <v>68796.023911847995</v>
      </c>
    </row>
    <row r="41" spans="1:15" x14ac:dyDescent="0.25">
      <c r="A41" s="8" t="s">
        <v>36</v>
      </c>
      <c r="B41" s="2"/>
      <c r="C41" s="38" t="s">
        <v>82</v>
      </c>
      <c r="D41" s="38" t="s">
        <v>110</v>
      </c>
      <c r="E41" s="38"/>
      <c r="F41" s="2">
        <v>1.64</v>
      </c>
      <c r="G41" s="32">
        <v>60667.349078399959</v>
      </c>
      <c r="H41" s="33">
        <v>64307</v>
      </c>
      <c r="I41" s="16" t="s">
        <v>124</v>
      </c>
      <c r="J41" s="10">
        <f t="shared" si="0"/>
        <v>3639.6509216000413</v>
      </c>
      <c r="K41" s="45">
        <f t="shared" si="1"/>
        <v>0</v>
      </c>
      <c r="L41" s="9">
        <f t="shared" si="2"/>
        <v>64901.909350799993</v>
      </c>
      <c r="M41" s="26"/>
      <c r="N41" s="26">
        <f t="shared" si="4"/>
        <v>61262.258429199952</v>
      </c>
      <c r="O41" s="26">
        <f t="shared" si="3"/>
        <v>64937.993934951948</v>
      </c>
    </row>
    <row r="42" spans="1:15" x14ac:dyDescent="0.25">
      <c r="A42" s="8" t="s">
        <v>36</v>
      </c>
      <c r="B42" s="2"/>
      <c r="C42" s="38" t="s">
        <v>83</v>
      </c>
      <c r="D42" s="38" t="s">
        <v>111</v>
      </c>
      <c r="E42" s="38"/>
      <c r="F42" s="2">
        <v>1.64</v>
      </c>
      <c r="G42" s="32">
        <v>111865.74323951773</v>
      </c>
      <c r="H42" s="33"/>
      <c r="I42" s="16" t="s">
        <v>124</v>
      </c>
      <c r="J42" s="10">
        <f t="shared" si="0"/>
        <v>-111865.74323951773</v>
      </c>
      <c r="K42" s="45">
        <f t="shared" si="1"/>
        <v>0</v>
      </c>
      <c r="L42" s="9">
        <f t="shared" si="2"/>
        <v>64901.909350799993</v>
      </c>
      <c r="M42" s="26"/>
      <c r="N42" s="26">
        <f t="shared" si="4"/>
        <v>176767.65259031771</v>
      </c>
      <c r="O42" s="26">
        <f t="shared" si="3"/>
        <v>187373.71174573677</v>
      </c>
    </row>
    <row r="43" spans="1:15" ht="14.25" customHeight="1" x14ac:dyDescent="0.25">
      <c r="A43" s="11"/>
      <c r="B43" s="11"/>
      <c r="C43" s="11"/>
      <c r="D43" s="11"/>
      <c r="E43" s="11"/>
      <c r="F43" s="21">
        <f>SUM(F7:F42)</f>
        <v>100.08999999999999</v>
      </c>
      <c r="G43" s="12">
        <f>SUM(G7:G42)</f>
        <v>7854003.9763148008</v>
      </c>
      <c r="H43" s="12">
        <f>SUM(H7:H42)</f>
        <v>3549294.9264908005</v>
      </c>
      <c r="I43" s="12"/>
      <c r="J43" s="155">
        <f t="shared" ref="J43:O43" si="5">SUM(J7:J42)</f>
        <v>-4304709.0498240003</v>
      </c>
      <c r="K43" s="12">
        <f t="shared" si="5"/>
        <v>0</v>
      </c>
      <c r="L43" s="12">
        <f t="shared" si="5"/>
        <v>3960995.1871472988</v>
      </c>
      <c r="M43" s="11">
        <f t="shared" si="5"/>
        <v>0</v>
      </c>
      <c r="N43" s="13">
        <f t="shared" si="5"/>
        <v>8265704.2369713029</v>
      </c>
      <c r="O43" s="12">
        <f t="shared" si="5"/>
        <v>8761646.4911895785</v>
      </c>
    </row>
    <row r="44" spans="1:15" hidden="1" x14ac:dyDescent="0.25">
      <c r="G44" t="s">
        <v>122</v>
      </c>
      <c r="I44" s="6">
        <f>SUMIF(I7:I42,"b",H7:H42)</f>
        <v>3093496.4685658002</v>
      </c>
      <c r="L44" s="14"/>
    </row>
    <row r="45" spans="1:15" hidden="1" x14ac:dyDescent="0.25">
      <c r="G45" t="s">
        <v>123</v>
      </c>
      <c r="I45" s="6">
        <f>SUMIF(I7:I42,"e",H7:H42)</f>
        <v>455798.457925</v>
      </c>
    </row>
    <row r="46" spans="1:15" hidden="1" x14ac:dyDescent="0.25">
      <c r="G46" t="s">
        <v>16</v>
      </c>
      <c r="H46" s="41">
        <f>I44+I45</f>
        <v>3549294.9264908005</v>
      </c>
    </row>
    <row r="49" spans="4:14" x14ac:dyDescent="0.25">
      <c r="D49" s="197" t="s">
        <v>214</v>
      </c>
      <c r="E49" s="197"/>
      <c r="F49" s="197"/>
      <c r="G49" s="197"/>
      <c r="H49" s="197"/>
      <c r="I49" s="197"/>
      <c r="J49" s="197"/>
      <c r="K49" s="197"/>
      <c r="L49" s="197"/>
      <c r="M49" s="197"/>
      <c r="N49" s="197"/>
    </row>
    <row r="50" spans="4:14" x14ac:dyDescent="0.25"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</row>
    <row r="51" spans="4:14" x14ac:dyDescent="0.25"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</row>
    <row r="52" spans="4:14" x14ac:dyDescent="0.25"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</row>
    <row r="53" spans="4:14" x14ac:dyDescent="0.25"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</row>
    <row r="54" spans="4:14" x14ac:dyDescent="0.25"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</row>
  </sheetData>
  <mergeCells count="17">
    <mergeCell ref="D49:N54"/>
    <mergeCell ref="N4:O4"/>
    <mergeCell ref="N3:O3"/>
    <mergeCell ref="G5:G6"/>
    <mergeCell ref="A5:A6"/>
    <mergeCell ref="B5:B6"/>
    <mergeCell ref="C5:C6"/>
    <mergeCell ref="D5:D6"/>
    <mergeCell ref="F5:F6"/>
    <mergeCell ref="O5:O6"/>
    <mergeCell ref="H5:H6"/>
    <mergeCell ref="J5:J6"/>
    <mergeCell ref="K5:K6"/>
    <mergeCell ref="L5:L6"/>
    <mergeCell ref="M5:M6"/>
    <mergeCell ref="N5:N6"/>
    <mergeCell ref="E5:E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P39"/>
  <sheetViews>
    <sheetView topLeftCell="A10" workbookViewId="0">
      <selection activeCell="I33" sqref="I33"/>
    </sheetView>
  </sheetViews>
  <sheetFormatPr baseColWidth="10" defaultRowHeight="15" x14ac:dyDescent="0.25"/>
  <sheetData>
    <row r="6" spans="4:15" ht="15.75" thickBot="1" x14ac:dyDescent="0.3"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4:15" ht="15.75" thickBot="1" x14ac:dyDescent="0.3">
      <c r="D7" s="49"/>
      <c r="E7" s="191" t="s">
        <v>174</v>
      </c>
      <c r="F7" s="192"/>
      <c r="G7" s="192"/>
      <c r="H7" s="192"/>
      <c r="I7" s="192"/>
      <c r="J7" s="192"/>
      <c r="K7" s="190"/>
      <c r="L7" s="50"/>
      <c r="M7" s="51"/>
      <c r="N7" s="49"/>
      <c r="O7" s="49"/>
    </row>
    <row r="8" spans="4:15" ht="15.75" thickBot="1" x14ac:dyDescent="0.3">
      <c r="D8" s="49"/>
      <c r="E8" s="193" t="s">
        <v>175</v>
      </c>
      <c r="F8" s="192"/>
      <c r="G8" s="192"/>
      <c r="H8" s="192"/>
      <c r="I8" s="192"/>
      <c r="J8" s="192"/>
      <c r="K8" s="190"/>
      <c r="L8" s="52"/>
      <c r="M8" s="53"/>
      <c r="N8" s="49"/>
      <c r="O8" s="49"/>
    </row>
    <row r="9" spans="4:15" x14ac:dyDescent="0.25">
      <c r="D9" s="49"/>
      <c r="E9" s="50"/>
      <c r="F9" s="54"/>
      <c r="G9" s="54"/>
      <c r="H9" s="54"/>
      <c r="I9" s="55"/>
      <c r="J9" s="55" t="s">
        <v>176</v>
      </c>
      <c r="K9" s="56"/>
      <c r="L9" s="52"/>
      <c r="M9" s="53"/>
      <c r="N9" s="49"/>
      <c r="O9" s="49"/>
    </row>
    <row r="10" spans="4:15" x14ac:dyDescent="0.25">
      <c r="D10" s="49"/>
      <c r="E10" s="52" t="s">
        <v>177</v>
      </c>
      <c r="F10" s="55"/>
      <c r="G10" s="55"/>
      <c r="H10" s="55"/>
      <c r="I10" s="55"/>
      <c r="J10" s="55" t="s">
        <v>178</v>
      </c>
      <c r="K10" s="56"/>
      <c r="L10" s="52"/>
      <c r="M10" s="53"/>
      <c r="N10" s="49"/>
      <c r="O10" s="49"/>
    </row>
    <row r="11" spans="4:15" x14ac:dyDescent="0.25">
      <c r="D11" s="49"/>
      <c r="E11" s="57"/>
      <c r="F11" s="58"/>
      <c r="G11" s="58"/>
      <c r="H11" s="58"/>
      <c r="I11" s="58"/>
      <c r="J11" s="58"/>
      <c r="K11" s="59"/>
      <c r="L11" s="52"/>
      <c r="M11" s="53"/>
      <c r="N11" s="49"/>
      <c r="O11" s="49"/>
    </row>
    <row r="12" spans="4:15" x14ac:dyDescent="0.25">
      <c r="D12" s="49"/>
      <c r="E12" s="194" t="s">
        <v>179</v>
      </c>
      <c r="F12" s="195"/>
      <c r="G12" s="195"/>
      <c r="H12" s="195"/>
      <c r="I12" s="195"/>
      <c r="J12" s="195"/>
      <c r="K12" s="196"/>
      <c r="L12" s="52"/>
      <c r="M12" s="53"/>
      <c r="N12" s="49"/>
      <c r="O12" s="49"/>
    </row>
    <row r="13" spans="4:15" x14ac:dyDescent="0.25">
      <c r="D13" s="49"/>
      <c r="E13" s="52"/>
      <c r="F13" s="55"/>
      <c r="G13" s="55"/>
      <c r="H13" s="55"/>
      <c r="I13" s="55"/>
      <c r="J13" s="55"/>
      <c r="K13" s="53"/>
      <c r="L13" s="52"/>
      <c r="M13" s="53"/>
      <c r="N13" s="49"/>
      <c r="O13" s="49"/>
    </row>
    <row r="14" spans="4:15" x14ac:dyDescent="0.25">
      <c r="D14" s="49"/>
      <c r="E14" s="52" t="s">
        <v>180</v>
      </c>
      <c r="F14" s="55"/>
      <c r="G14" s="55" t="str">
        <f>PRORRATEO!D12</f>
        <v>RAMOS PAMELA</v>
      </c>
      <c r="H14" s="55"/>
      <c r="I14" s="55" t="s">
        <v>181</v>
      </c>
      <c r="J14" s="60">
        <v>45600</v>
      </c>
      <c r="K14" s="53"/>
      <c r="L14" s="184" t="s">
        <v>182</v>
      </c>
      <c r="M14" s="185"/>
      <c r="N14" s="49"/>
      <c r="O14" s="49"/>
    </row>
    <row r="15" spans="4:15" x14ac:dyDescent="0.25">
      <c r="D15" s="49"/>
      <c r="E15" s="52" t="s">
        <v>183</v>
      </c>
      <c r="F15" s="61" t="str">
        <f>PRORRATEO!C12</f>
        <v>2A</v>
      </c>
      <c r="G15" s="55"/>
      <c r="H15" s="55"/>
      <c r="I15" s="55"/>
      <c r="J15" s="55"/>
      <c r="K15" s="53"/>
      <c r="L15" s="52"/>
      <c r="M15" s="53"/>
      <c r="N15" s="49"/>
      <c r="O15" s="49"/>
    </row>
    <row r="16" spans="4:15" x14ac:dyDescent="0.25">
      <c r="D16" s="49"/>
      <c r="E16" s="52"/>
      <c r="F16" s="55"/>
      <c r="G16" s="55"/>
      <c r="H16" s="55"/>
      <c r="I16" s="55"/>
      <c r="J16" s="55"/>
      <c r="K16" s="53"/>
      <c r="L16" s="186"/>
      <c r="M16" s="185"/>
      <c r="N16" s="49"/>
      <c r="O16" s="49"/>
    </row>
    <row r="17" spans="4:16" x14ac:dyDescent="0.25">
      <c r="D17" s="49"/>
      <c r="E17" s="52"/>
      <c r="F17" s="55"/>
      <c r="G17" s="55"/>
      <c r="H17" s="55"/>
      <c r="I17" s="55"/>
      <c r="J17" s="55"/>
      <c r="K17" s="53"/>
      <c r="L17" s="52"/>
      <c r="M17" s="53"/>
      <c r="N17" s="49"/>
      <c r="O17" s="49"/>
    </row>
    <row r="18" spans="4:16" x14ac:dyDescent="0.25">
      <c r="D18" s="49"/>
      <c r="E18" s="52"/>
      <c r="F18" s="55"/>
      <c r="G18" s="55"/>
      <c r="H18" s="55"/>
      <c r="I18" s="55"/>
      <c r="J18" s="55"/>
      <c r="K18" s="53"/>
      <c r="L18" s="52"/>
      <c r="M18" s="53"/>
      <c r="N18" s="49"/>
      <c r="O18" s="49"/>
    </row>
    <row r="19" spans="4:16" ht="15.75" thickBot="1" x14ac:dyDescent="0.3">
      <c r="D19" s="49"/>
      <c r="E19" s="52"/>
      <c r="F19" s="55"/>
      <c r="G19" s="55"/>
      <c r="H19" s="55"/>
      <c r="I19" s="55"/>
      <c r="J19" s="55"/>
      <c r="K19" s="53"/>
      <c r="L19" s="62"/>
      <c r="M19" s="63"/>
      <c r="N19" s="49"/>
      <c r="O19" s="49"/>
    </row>
    <row r="20" spans="4:16" ht="15.75" thickBot="1" x14ac:dyDescent="0.3">
      <c r="D20" s="49"/>
      <c r="E20" s="187" t="s">
        <v>184</v>
      </c>
      <c r="F20" s="188"/>
      <c r="G20" s="188"/>
      <c r="H20" s="188"/>
      <c r="I20" s="188"/>
      <c r="J20" s="189">
        <f>PRORRATEO!H12</f>
        <v>129901.77046380006</v>
      </c>
      <c r="K20" s="190"/>
      <c r="L20" s="64"/>
      <c r="M20" s="65"/>
      <c r="N20" s="49"/>
      <c r="O20" s="49"/>
    </row>
    <row r="24" spans="4:16" ht="15.75" thickBot="1" x14ac:dyDescent="0.3"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4:16" ht="15.75" thickBot="1" x14ac:dyDescent="0.3">
      <c r="F25" s="49"/>
      <c r="G25" s="191" t="s">
        <v>174</v>
      </c>
      <c r="H25" s="192"/>
      <c r="I25" s="192"/>
      <c r="J25" s="192"/>
      <c r="K25" s="192"/>
      <c r="L25" s="192"/>
      <c r="M25" s="190"/>
      <c r="N25" s="50"/>
      <c r="O25" s="51"/>
      <c r="P25" s="49"/>
    </row>
    <row r="26" spans="4:16" ht="15.75" thickBot="1" x14ac:dyDescent="0.3">
      <c r="F26" s="49"/>
      <c r="G26" s="193" t="s">
        <v>175</v>
      </c>
      <c r="H26" s="192"/>
      <c r="I26" s="192"/>
      <c r="J26" s="192"/>
      <c r="K26" s="192"/>
      <c r="L26" s="192"/>
      <c r="M26" s="190"/>
      <c r="N26" s="52"/>
      <c r="O26" s="53"/>
      <c r="P26" s="49"/>
    </row>
    <row r="27" spans="4:16" x14ac:dyDescent="0.25">
      <c r="F27" s="49"/>
      <c r="G27" s="50"/>
      <c r="H27" s="54"/>
      <c r="I27" s="54"/>
      <c r="J27" s="54"/>
      <c r="K27" s="55"/>
      <c r="L27" s="55" t="s">
        <v>176</v>
      </c>
      <c r="M27" s="56"/>
      <c r="N27" s="52"/>
      <c r="O27" s="53"/>
      <c r="P27" s="49"/>
    </row>
    <row r="28" spans="4:16" x14ac:dyDescent="0.25">
      <c r="F28" s="49"/>
      <c r="G28" s="52" t="s">
        <v>177</v>
      </c>
      <c r="H28" s="55"/>
      <c r="I28" s="55"/>
      <c r="J28" s="55"/>
      <c r="K28" s="55"/>
      <c r="L28" s="55" t="s">
        <v>178</v>
      </c>
      <c r="M28" s="56"/>
      <c r="N28" s="52"/>
      <c r="O28" s="53"/>
      <c r="P28" s="49"/>
    </row>
    <row r="29" spans="4:16" x14ac:dyDescent="0.25">
      <c r="F29" s="49"/>
      <c r="G29" s="57"/>
      <c r="H29" s="58"/>
      <c r="I29" s="58"/>
      <c r="J29" s="58"/>
      <c r="K29" s="58"/>
      <c r="L29" s="58"/>
      <c r="M29" s="59"/>
      <c r="N29" s="52"/>
      <c r="O29" s="53"/>
      <c r="P29" s="49"/>
    </row>
    <row r="30" spans="4:16" x14ac:dyDescent="0.25">
      <c r="F30" s="49"/>
      <c r="G30" s="194" t="s">
        <v>179</v>
      </c>
      <c r="H30" s="195"/>
      <c r="I30" s="195"/>
      <c r="J30" s="195"/>
      <c r="K30" s="195"/>
      <c r="L30" s="195"/>
      <c r="M30" s="196"/>
      <c r="N30" s="52"/>
      <c r="O30" s="53"/>
      <c r="P30" s="49"/>
    </row>
    <row r="31" spans="4:16" x14ac:dyDescent="0.25">
      <c r="F31" s="49"/>
      <c r="G31" s="52"/>
      <c r="H31" s="55"/>
      <c r="I31" s="55"/>
      <c r="J31" s="55"/>
      <c r="K31" s="55"/>
      <c r="L31" s="55"/>
      <c r="M31" s="53"/>
      <c r="N31" s="52"/>
      <c r="O31" s="53"/>
      <c r="P31" s="49"/>
    </row>
    <row r="32" spans="4:16" x14ac:dyDescent="0.25">
      <c r="F32" s="49"/>
      <c r="G32" s="52" t="s">
        <v>180</v>
      </c>
      <c r="H32" s="55"/>
      <c r="I32" s="55"/>
      <c r="J32" s="55"/>
      <c r="K32" s="55" t="s">
        <v>181</v>
      </c>
      <c r="L32" s="60">
        <v>45600</v>
      </c>
      <c r="M32" s="53"/>
      <c r="N32" s="184" t="s">
        <v>182</v>
      </c>
      <c r="O32" s="185"/>
      <c r="P32" s="49"/>
    </row>
    <row r="33" spans="6:16" x14ac:dyDescent="0.25">
      <c r="F33" s="49"/>
      <c r="G33" s="52" t="s">
        <v>183</v>
      </c>
      <c r="H33" s="61" t="str">
        <f>PRORRATEO!E30</f>
        <v>Nelida</v>
      </c>
      <c r="I33" s="55"/>
      <c r="J33" s="55"/>
      <c r="K33" s="55"/>
      <c r="L33" s="55"/>
      <c r="M33" s="53"/>
      <c r="N33" s="52"/>
      <c r="O33" s="53"/>
      <c r="P33" s="49"/>
    </row>
    <row r="34" spans="6:16" x14ac:dyDescent="0.25">
      <c r="F34" s="49"/>
      <c r="G34" s="52"/>
      <c r="H34" s="55"/>
      <c r="I34" s="55"/>
      <c r="J34" s="55"/>
      <c r="K34" s="55"/>
      <c r="L34" s="55"/>
      <c r="M34" s="53"/>
      <c r="N34" s="186"/>
      <c r="O34" s="185"/>
      <c r="P34" s="49"/>
    </row>
    <row r="35" spans="6:16" x14ac:dyDescent="0.25">
      <c r="F35" s="49"/>
      <c r="G35" s="52"/>
      <c r="H35" s="55"/>
      <c r="I35" s="55"/>
      <c r="J35" s="55"/>
      <c r="K35" s="55"/>
      <c r="L35" s="55"/>
      <c r="M35" s="53"/>
      <c r="N35" s="52"/>
      <c r="O35" s="53"/>
      <c r="P35" s="49"/>
    </row>
    <row r="36" spans="6:16" x14ac:dyDescent="0.25">
      <c r="F36" s="49"/>
      <c r="G36" s="52"/>
      <c r="H36" s="55"/>
      <c r="I36" s="55"/>
      <c r="J36" s="55"/>
      <c r="K36" s="55"/>
      <c r="L36" s="55"/>
      <c r="M36" s="53"/>
      <c r="N36" s="52"/>
      <c r="O36" s="53"/>
      <c r="P36" s="49"/>
    </row>
    <row r="37" spans="6:16" ht="15.75" thickBot="1" x14ac:dyDescent="0.3">
      <c r="F37" s="49"/>
      <c r="G37" s="52"/>
      <c r="H37" s="55"/>
      <c r="I37" s="55"/>
      <c r="J37" s="55"/>
      <c r="K37" s="55"/>
      <c r="L37" s="55"/>
      <c r="M37" s="53"/>
      <c r="N37" s="62"/>
      <c r="O37" s="63"/>
      <c r="P37" s="49"/>
    </row>
    <row r="38" spans="6:16" ht="15.75" thickBot="1" x14ac:dyDescent="0.3">
      <c r="F38" s="49"/>
      <c r="G38" s="187" t="s">
        <v>184</v>
      </c>
      <c r="H38" s="188"/>
      <c r="I38" s="188"/>
      <c r="J38" s="188"/>
      <c r="K38" s="188"/>
      <c r="L38" s="189">
        <f>PRORRATEO!J30</f>
        <v>9.5121299964375794E-2</v>
      </c>
      <c r="M38" s="190"/>
      <c r="N38" s="64"/>
      <c r="O38" s="65"/>
      <c r="P38" s="49"/>
    </row>
    <row r="39" spans="6:16" x14ac:dyDescent="0.25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2025-01-02T12:42:14Z</cp:lastPrinted>
  <dcterms:created xsi:type="dcterms:W3CDTF">2023-09-17T12:29:07Z</dcterms:created>
  <dcterms:modified xsi:type="dcterms:W3CDTF">2025-01-31T21:05:58Z</dcterms:modified>
</cp:coreProperties>
</file>