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CORTA 146\Julio\"/>
    </mc:Choice>
  </mc:AlternateContent>
  <xr:revisionPtr revIDLastSave="0" documentId="13_ncr:1_{6A26512E-E21D-48B7-BE4B-1B512F5FA76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PRORRATEO" sheetId="2" r:id="rId2"/>
    <sheet name="Recibo " sheetId="3" r:id="rId3"/>
  </sheets>
  <definedNames>
    <definedName name="_xlnm.Print_Area" localSheetId="1">PRORRATEO!$A$1:$O$55</definedName>
    <definedName name="_xlnm.Print_Area" localSheetId="2">'Recibo '!$E$6:$N$21</definedName>
    <definedName name="_xlnm.Print_Area" localSheetId="0">RESUMEN!$A$1:$E$126</definedName>
  </definedNames>
  <calcPr calcId="181029"/>
</workbook>
</file>

<file path=xl/calcChain.xml><?xml version="1.0" encoding="utf-8"?>
<calcChain xmlns="http://schemas.openxmlformats.org/spreadsheetml/2006/main">
  <c r="B106" i="1" l="1"/>
  <c r="H29" i="2"/>
  <c r="H19" i="2"/>
  <c r="H28" i="2"/>
  <c r="H7" i="2"/>
  <c r="H41" i="2"/>
  <c r="H23" i="2"/>
  <c r="H10" i="2"/>
  <c r="H25" i="2"/>
  <c r="J41" i="2"/>
  <c r="H36" i="2"/>
  <c r="D77" i="1" l="1"/>
  <c r="E57" i="1" l="1"/>
  <c r="E69" i="1"/>
  <c r="E75" i="1"/>
  <c r="E79" i="1"/>
  <c r="N3" i="2" l="1"/>
  <c r="H14" i="2"/>
  <c r="H27" i="2"/>
  <c r="H11" i="2" l="1"/>
  <c r="H13" i="2" l="1"/>
  <c r="H30" i="2"/>
  <c r="H12" i="2" l="1"/>
  <c r="E50" i="1" l="1"/>
  <c r="E46" i="1"/>
  <c r="E37" i="1"/>
  <c r="E41" i="1"/>
  <c r="G39" i="1" l="1"/>
  <c r="E83" i="1"/>
  <c r="H33" i="3" l="1"/>
  <c r="H32" i="2" l="1"/>
  <c r="J20" i="3"/>
  <c r="F15" i="3"/>
  <c r="G14" i="3"/>
  <c r="H33" i="2" l="1"/>
  <c r="A54" i="1" l="1"/>
  <c r="K8" i="2" l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7" i="2"/>
  <c r="C90" i="1"/>
  <c r="B96" i="1" s="1"/>
  <c r="B97" i="1" l="1"/>
  <c r="H40" i="2" l="1"/>
  <c r="J21" i="2" l="1"/>
  <c r="A55" i="1" l="1"/>
  <c r="C125" i="1" l="1"/>
  <c r="C54" i="1" l="1"/>
  <c r="C55" i="1" s="1"/>
  <c r="F43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7" i="2"/>
  <c r="K43" i="2"/>
  <c r="G43" i="2"/>
  <c r="J14" i="2"/>
  <c r="H39" i="2"/>
  <c r="J39" i="2" s="1"/>
  <c r="H37" i="2"/>
  <c r="J36" i="2"/>
  <c r="J19" i="2"/>
  <c r="J30" i="2"/>
  <c r="L38" i="3" s="1"/>
  <c r="J26" i="2"/>
  <c r="J23" i="2"/>
  <c r="N23" i="2" s="1"/>
  <c r="J8" i="2"/>
  <c r="J9" i="2"/>
  <c r="J10" i="2"/>
  <c r="J11" i="2"/>
  <c r="J12" i="2"/>
  <c r="J13" i="2"/>
  <c r="J15" i="2"/>
  <c r="J16" i="2"/>
  <c r="J17" i="2"/>
  <c r="J20" i="2"/>
  <c r="J22" i="2"/>
  <c r="J24" i="2"/>
  <c r="J25" i="2"/>
  <c r="J27" i="2"/>
  <c r="J29" i="2"/>
  <c r="J31" i="2"/>
  <c r="J33" i="2"/>
  <c r="J34" i="2"/>
  <c r="J35" i="2"/>
  <c r="J38" i="2"/>
  <c r="J40" i="2"/>
  <c r="J42" i="2"/>
  <c r="J7" i="2"/>
  <c r="J37" i="2" l="1"/>
  <c r="N11" i="2"/>
  <c r="N19" i="2"/>
  <c r="N16" i="2"/>
  <c r="N15" i="2"/>
  <c r="N31" i="2"/>
  <c r="N24" i="2"/>
  <c r="N20" i="2"/>
  <c r="N35" i="2"/>
  <c r="N40" i="2"/>
  <c r="N27" i="2"/>
  <c r="N12" i="2"/>
  <c r="N39" i="2"/>
  <c r="N22" i="2"/>
  <c r="N21" i="2"/>
  <c r="N36" i="2"/>
  <c r="L43" i="2"/>
  <c r="N17" i="2"/>
  <c r="J32" i="2"/>
  <c r="N32" i="2" s="1"/>
  <c r="N7" i="2"/>
  <c r="N29" i="2"/>
  <c r="N42" i="2"/>
  <c r="N38" i="2"/>
  <c r="N34" i="2"/>
  <c r="N10" i="2"/>
  <c r="N8" i="2"/>
  <c r="N41" i="2"/>
  <c r="N37" i="2"/>
  <c r="N33" i="2"/>
  <c r="N13" i="2"/>
  <c r="N9" i="2"/>
  <c r="N14" i="2"/>
  <c r="N26" i="2"/>
  <c r="N25" i="2"/>
  <c r="N30" i="2"/>
  <c r="M43" i="2"/>
  <c r="I45" i="2" l="1"/>
  <c r="B114" i="1" s="1"/>
  <c r="B119" i="1" s="1"/>
  <c r="J28" i="2"/>
  <c r="N28" i="2" s="1"/>
  <c r="B95" i="1"/>
  <c r="O25" i="2"/>
  <c r="O14" i="2"/>
  <c r="O12" i="2"/>
  <c r="O22" i="2"/>
  <c r="O33" i="2"/>
  <c r="O40" i="2"/>
  <c r="O42" i="2"/>
  <c r="B98" i="1" l="1"/>
  <c r="B107" i="1" s="1"/>
  <c r="O30" i="2"/>
  <c r="O7" i="2"/>
  <c r="O13" i="2"/>
  <c r="O41" i="2"/>
  <c r="O38" i="2"/>
  <c r="O34" i="2"/>
  <c r="O28" i="2"/>
  <c r="O36" i="2"/>
  <c r="O32" i="2"/>
  <c r="O15" i="2"/>
  <c r="O11" i="2"/>
  <c r="O9" i="2"/>
  <c r="O23" i="2"/>
  <c r="O35" i="2"/>
  <c r="O31" i="2"/>
  <c r="O20" i="2"/>
  <c r="O10" i="2"/>
  <c r="O17" i="2"/>
  <c r="O26" i="2"/>
  <c r="O27" i="2"/>
  <c r="O8" i="2"/>
  <c r="O19" i="2"/>
  <c r="O21" i="2"/>
  <c r="O24" i="2"/>
  <c r="O29" i="2"/>
  <c r="O37" i="2"/>
  <c r="O16" i="2"/>
  <c r="O39" i="2"/>
  <c r="B94" i="1" l="1"/>
  <c r="H43" i="2"/>
  <c r="J18" i="2"/>
  <c r="I44" i="2"/>
  <c r="H46" i="2" s="1"/>
  <c r="N18" i="2" l="1"/>
  <c r="N43" i="2" s="1"/>
  <c r="J43" i="2"/>
  <c r="B105" i="1"/>
  <c r="B108" i="1" s="1"/>
  <c r="O18" i="2" l="1"/>
  <c r="O43" i="2" s="1"/>
</calcChain>
</file>

<file path=xl/sharedStrings.xml><?xml version="1.0" encoding="utf-8"?>
<sst xmlns="http://schemas.openxmlformats.org/spreadsheetml/2006/main" count="287" uniqueCount="205">
  <si>
    <t>LIQUIDACION DE EXPENSAS</t>
  </si>
  <si>
    <t>TOTAL SUELDO</t>
  </si>
  <si>
    <t>IMPUESTO</t>
  </si>
  <si>
    <t>TOTAL IMPUESTO</t>
  </si>
  <si>
    <t>TOTAL Aportes y Contribuciones - Sindicato</t>
  </si>
  <si>
    <t>TOTAL ABONOS Y SERVICIOS</t>
  </si>
  <si>
    <t>ESTADO DE CUENTA Y PRORRATEO</t>
  </si>
  <si>
    <t>Gastos Ordinarios:</t>
  </si>
  <si>
    <t>Piso</t>
  </si>
  <si>
    <t>Dpto.</t>
  </si>
  <si>
    <t>UF</t>
  </si>
  <si>
    <t>Propietario</t>
  </si>
  <si>
    <t xml:space="preserve">Saldo </t>
  </si>
  <si>
    <t xml:space="preserve">Ingreso </t>
  </si>
  <si>
    <t>Expensas extraor.</t>
  </si>
  <si>
    <t>SUM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</si>
  <si>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</si>
  <si>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</si>
  <si>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</si>
  <si>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</si>
  <si>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</si>
  <si>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</si>
  <si>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</si>
  <si>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</si>
  <si>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</si>
  <si>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</si>
  <si>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</si>
  <si>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</si>
  <si>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</si>
  <si>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</si>
  <si>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</si>
  <si>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TOTAL EXPENSAS 1er VTO</t>
  </si>
  <si>
    <t>TOTAL EXPENSAS 2do VTO</t>
  </si>
  <si>
    <t>Expensas ord</t>
  </si>
  <si>
    <t>GASTOS ORDINARIOS UNIDADES FUNCIONALES:</t>
  </si>
  <si>
    <t>Ingresos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</si>
  <si>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</si>
  <si>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</si>
  <si>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</si>
  <si>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</si>
  <si>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</si>
  <si>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</si>
  <si>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</si>
  <si>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>Egresos</t>
  </si>
  <si>
    <t>Ingreso</t>
  </si>
  <si>
    <t>RESUMEN CAJA</t>
  </si>
  <si>
    <t>Saldo final</t>
  </si>
  <si>
    <t>CONSORCIO DE PROPIETARIOS DEL EDIFICIO CALLE AMANCIO ALCORTA 146</t>
  </si>
  <si>
    <t>CUIT: 30-60093228-0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</si>
  <si>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</si>
  <si>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</si>
  <si>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</si>
  <si>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</si>
  <si>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</si>
  <si>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</si>
  <si>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</si>
  <si>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</si>
  <si>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</si>
  <si>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</si>
  <si>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</si>
  <si>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</si>
  <si>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</si>
  <si>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</si>
  <si>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</si>
  <si>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</si>
  <si>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5A</t>
  </si>
  <si>
    <t>5B</t>
  </si>
  <si>
    <t>5C</t>
  </si>
  <si>
    <t>5D</t>
  </si>
  <si>
    <t>6A</t>
  </si>
  <si>
    <t>6B</t>
  </si>
  <si>
    <t>6C</t>
  </si>
  <si>
    <t>6D</t>
  </si>
  <si>
    <t>COCH1</t>
  </si>
  <si>
    <t>COCH2</t>
  </si>
  <si>
    <t>COCH3</t>
  </si>
  <si>
    <t>COCH4</t>
  </si>
  <si>
    <t>COCH5</t>
  </si>
  <si>
    <t>COCH6</t>
  </si>
  <si>
    <t>COCH7</t>
  </si>
  <si>
    <t>COCH8</t>
  </si>
  <si>
    <t>COCH9</t>
  </si>
  <si>
    <t>COCH10</t>
  </si>
  <si>
    <t>COCH11</t>
  </si>
  <si>
    <t>VITAL VANESA</t>
  </si>
  <si>
    <t>SASSI A.</t>
  </si>
  <si>
    <t>BOCALANDRO M.E</t>
  </si>
  <si>
    <t>PALUMBO ANTONIO</t>
  </si>
  <si>
    <t>TEXIDO EMILIO</t>
  </si>
  <si>
    <t>FIGUEIRA ALBERTO</t>
  </si>
  <si>
    <t>DECIMA SEGUNDO</t>
  </si>
  <si>
    <t>MARQUEZ DELIA</t>
  </si>
  <si>
    <t>ROMERO GONZALO</t>
  </si>
  <si>
    <t>DEL CASTILLO LAURA</t>
  </si>
  <si>
    <t>MOLINA MATIAS</t>
  </si>
  <si>
    <t>GRECCO CELESTE</t>
  </si>
  <si>
    <t>RUSSO L.H</t>
  </si>
  <si>
    <t>FERNANDEZ DANIEL</t>
  </si>
  <si>
    <t>CORTESE KARINA</t>
  </si>
  <si>
    <t>SALADINO PABLO</t>
  </si>
  <si>
    <t>VILA LEANDRO</t>
  </si>
  <si>
    <t>MARTINEZ D</t>
  </si>
  <si>
    <t>MORINI SERGIO</t>
  </si>
  <si>
    <t>MARCHINI MARIO</t>
  </si>
  <si>
    <t>AGÜERO CARLOS</t>
  </si>
  <si>
    <t>PEREZ MARIA</t>
  </si>
  <si>
    <t>NN</t>
  </si>
  <si>
    <t>CURRA LETICIA</t>
  </si>
  <si>
    <t>NN VITAL VANESA</t>
  </si>
  <si>
    <t>DAVOLA MARTA</t>
  </si>
  <si>
    <t>GUZMAN MIMA</t>
  </si>
  <si>
    <t>Gastos Extraordinarios:</t>
  </si>
  <si>
    <t xml:space="preserve">Sueldo SR Vicente Aldo Adrian </t>
  </si>
  <si>
    <t xml:space="preserve">TOTAL </t>
  </si>
  <si>
    <t>APORTES Y CONTRIBUCIONES</t>
  </si>
  <si>
    <t>GASTOS GENERALES / MANTENIMIENTO</t>
  </si>
  <si>
    <t>ABONOS Y SERVICIOS</t>
  </si>
  <si>
    <t xml:space="preserve">SUELDO </t>
  </si>
  <si>
    <t>EDESUR Nro de cliente : 01121996</t>
  </si>
  <si>
    <t>ORTIZ MIRAZ</t>
  </si>
  <si>
    <t>BANCO</t>
  </si>
  <si>
    <t>EF</t>
  </si>
  <si>
    <t>b</t>
  </si>
  <si>
    <t>ARBA</t>
  </si>
  <si>
    <t xml:space="preserve">EDESUR Nro de cliente : 01121995   </t>
  </si>
  <si>
    <t>TSG</t>
  </si>
  <si>
    <t>Suterh</t>
  </si>
  <si>
    <t>Seracarh</t>
  </si>
  <si>
    <t>Fatheryh</t>
  </si>
  <si>
    <t>Inquilinos</t>
  </si>
  <si>
    <t>Hector Gira</t>
  </si>
  <si>
    <t>Sabrina</t>
  </si>
  <si>
    <t>Cecilia</t>
  </si>
  <si>
    <t>Nelida</t>
  </si>
  <si>
    <t xml:space="preserve">Andrea </t>
  </si>
  <si>
    <t>Taller</t>
  </si>
  <si>
    <t>Angela</t>
  </si>
  <si>
    <t>HONORARIOS</t>
  </si>
  <si>
    <t xml:space="preserve">Gustavo Padron </t>
  </si>
  <si>
    <t>HONORARIOS administracion</t>
  </si>
  <si>
    <t>RAMOS PAMELA</t>
  </si>
  <si>
    <t>MP:1148</t>
  </si>
  <si>
    <t>Redondeo</t>
  </si>
  <si>
    <t>DEUDA o SALDO A F</t>
  </si>
  <si>
    <t xml:space="preserve">Barbara </t>
  </si>
  <si>
    <t xml:space="preserve">MAIL: amancioalcorta146rc@gmail.com
</t>
  </si>
  <si>
    <t>Fotocopias</t>
  </si>
  <si>
    <t>EDESUR Nro de cliente : 01121994</t>
  </si>
  <si>
    <t>B</t>
  </si>
  <si>
    <t>Aldo</t>
  </si>
  <si>
    <t>Domicilio: Dr. Melo Nº 2958 - 8vo piso (cita previa) Lanus</t>
  </si>
  <si>
    <t>TOTAL SAC</t>
  </si>
  <si>
    <t>Deducciones</t>
  </si>
  <si>
    <t>SAC</t>
  </si>
  <si>
    <t>GASTOS EXTRAORDINARIOS</t>
  </si>
  <si>
    <t>GASTOS EXTRAORD SIN PREVISION</t>
  </si>
  <si>
    <t>GASTOS EXTRAORD + PREVISION</t>
  </si>
  <si>
    <t>EGRESOS REALES TOTAL</t>
  </si>
  <si>
    <t>Mercantil andina - Poliza nro. 001169864</t>
  </si>
  <si>
    <t xml:space="preserve">PREVISION EXTRAORDINARIA </t>
  </si>
  <si>
    <t>PAGOS NO IDENTIFICADOS</t>
  </si>
  <si>
    <t>RECIBO DE EXPENSAS</t>
  </si>
  <si>
    <t>CONSORCIO: ADMINISTRACION DE CONSORCIOS RC</t>
  </si>
  <si>
    <t>PERIODO: OCTUBRE</t>
  </si>
  <si>
    <t>Adminstradora: Carolina Canciani</t>
  </si>
  <si>
    <t>VENCIMIENTO: NOVIEMBRE</t>
  </si>
  <si>
    <t>EXPENSAS ORDINARIAS</t>
  </si>
  <si>
    <t>Nombre y apellido:</t>
  </si>
  <si>
    <t>Fecha:</t>
  </si>
  <si>
    <t>Sello o firma autoriada:</t>
  </si>
  <si>
    <t>UF:</t>
  </si>
  <si>
    <t>Total recibido:</t>
  </si>
  <si>
    <t>BANCO MACRO $ (pesos)</t>
  </si>
  <si>
    <t>ALIAS: EGECUTE.DEHESA.FOCO,</t>
  </si>
  <si>
    <t>CBU: 2850939030007264271000</t>
  </si>
  <si>
    <t>CUENTA CORRIENTE EN PESOS: MACRO     SUCURSAL:939    CUENTA BANCARIA NRO. 393900726427100</t>
  </si>
  <si>
    <t>Mantenimiento ascensores</t>
  </si>
  <si>
    <t>MAFRE Seguro de vida colectivo retroactivo 2025</t>
  </si>
  <si>
    <t>ES DE CARÁCTER OBLIGATORIO ENVIAR LOS COMPROBANTES DE TRANSFERENCIAS. DE LO CONTRARIO, DEBEN REVISAR EN LA PARTE INFERIOR QUE HAY DEPOSITOS NO IDENTIFICADOS. A PARTIR DE FEBRERO, QUIEN NO INFORME, CORRERA LA SUERTE DE PAGAR IGUALMENTE LOS PUNITORIOS.</t>
  </si>
  <si>
    <t>Olga</t>
  </si>
  <si>
    <t>ESTA ES LARROCA</t>
  </si>
  <si>
    <t>RUSSO</t>
  </si>
  <si>
    <t>ARCA MES DE MAYO</t>
  </si>
  <si>
    <t xml:space="preserve">PREVISION ORDINARIA </t>
  </si>
  <si>
    <t>Nestor</t>
  </si>
  <si>
    <t>MARIA GARCIA CRISTINA</t>
  </si>
  <si>
    <t>EN MAYO ABONO $131.386,79 Y SE LO PSUIMOS A OTRO</t>
  </si>
  <si>
    <t>PERÍODO: JULIO</t>
  </si>
  <si>
    <t>Mes de JULIO</t>
  </si>
  <si>
    <t>Sindicatos periodo JULIO</t>
  </si>
  <si>
    <t>Metrogas JULIO</t>
  </si>
  <si>
    <t>VTO 14/08</t>
  </si>
  <si>
    <t xml:space="preserve">
Remuneraciones sujetas a retencion</t>
  </si>
  <si>
    <t xml:space="preserve">
Remuneraciones excentas</t>
  </si>
  <si>
    <t>Aumentados en juli</t>
  </si>
  <si>
    <t>Debito 14/07</t>
  </si>
  <si>
    <t>Cuota 7</t>
  </si>
  <si>
    <t>AYSA  - Mes de JULIO - Vto 21/07</t>
  </si>
  <si>
    <t>AYSA  - Mes de JULIO - Vto 03/07</t>
  </si>
  <si>
    <t>Debito 10/07</t>
  </si>
  <si>
    <t>Fumigacion mayo, junio, julio</t>
  </si>
  <si>
    <t>Fernanda</t>
  </si>
  <si>
    <t xml:space="preserve">R DE FIORE </t>
  </si>
  <si>
    <t>Deposito en cuenta bancaria</t>
  </si>
  <si>
    <t>Deposito en 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</si>
</sst>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d/m"/>
    <numFmt numFmtId="169" formatCode="_-&quot;$&quot;\ * #,##0.00_-;\-&quot;$&quot;\ * #,##0.00_-;_-&quot;$&quot;\ * &quot;-&quot;??_-;_-@"/>
    <numFmt numFmtId="173" formatCode="_-&quot;$&quot;\ * #,##0.0_-;\-&quot;$&quot;\ * #,##0.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i/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1">
    <xf numFmtId="0" fontId="0" fillId="0" borderId="0" xfId="0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164" fontId="0" fillId="0" borderId="0" xfId="0" applyNumberFormat="1"/>
    <xf numFmtId="167" fontId="0" fillId="0" borderId="1" xfId="1" applyNumberFormat="1" applyFont="1" applyBorder="1"/>
    <xf numFmtId="167" fontId="0" fillId="0" borderId="1" xfId="0" applyNumberFormat="1" applyBorder="1"/>
    <xf numFmtId="0" fontId="0" fillId="7" borderId="1" xfId="0" applyFill="1" applyBorder="1"/>
    <xf numFmtId="167" fontId="0" fillId="7" borderId="1" xfId="0" applyNumberFormat="1" applyFill="1" applyBorder="1"/>
    <xf numFmtId="3" fontId="0" fillId="7" borderId="1" xfId="0" applyNumberFormat="1" applyFill="1" applyBorder="1"/>
    <xf numFmtId="167" fontId="0" fillId="0" borderId="0" xfId="0" applyNumberFormat="1"/>
    <xf numFmtId="164" fontId="4" fillId="4" borderId="6" xfId="0" applyNumberFormat="1" applyFont="1" applyFill="1" applyBorder="1"/>
    <xf numFmtId="167" fontId="2" fillId="0" borderId="1" xfId="1" applyNumberFormat="1" applyFont="1" applyBorder="1"/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7" fillId="2" borderId="0" xfId="0" applyFont="1" applyFill="1"/>
    <xf numFmtId="165" fontId="2" fillId="2" borderId="1" xfId="1" applyFont="1" applyFill="1" applyBorder="1"/>
    <xf numFmtId="1" fontId="0" fillId="7" borderId="1" xfId="0" applyNumberFormat="1" applyFill="1" applyBorder="1"/>
    <xf numFmtId="0" fontId="8" fillId="4" borderId="1" xfId="0" applyFont="1" applyFill="1" applyBorder="1"/>
    <xf numFmtId="0" fontId="4" fillId="4" borderId="1" xfId="0" applyFont="1" applyFill="1" applyBorder="1"/>
    <xf numFmtId="164" fontId="8" fillId="4" borderId="1" xfId="0" applyNumberFormat="1" applyFont="1" applyFill="1" applyBorder="1"/>
    <xf numFmtId="165" fontId="4" fillId="4" borderId="1" xfId="1" applyFont="1" applyFill="1" applyBorder="1"/>
    <xf numFmtId="165" fontId="0" fillId="0" borderId="1" xfId="1" applyFont="1" applyBorder="1"/>
    <xf numFmtId="165" fontId="2" fillId="0" borderId="1" xfId="1" applyFont="1" applyBorder="1"/>
    <xf numFmtId="165" fontId="4" fillId="4" borderId="6" xfId="1" applyFont="1" applyFill="1" applyBorder="1"/>
    <xf numFmtId="165" fontId="2" fillId="4" borderId="1" xfId="1" applyFont="1" applyFill="1" applyBorder="1"/>
    <xf numFmtId="165" fontId="2" fillId="4" borderId="6" xfId="1" applyFont="1" applyFill="1" applyBorder="1"/>
    <xf numFmtId="0" fontId="0" fillId="0" borderId="0" xfId="0" applyAlignment="1">
      <alignment wrapText="1"/>
    </xf>
    <xf numFmtId="167" fontId="2" fillId="2" borderId="1" xfId="1" applyNumberFormat="1" applyFont="1" applyFill="1" applyBorder="1"/>
    <xf numFmtId="0" fontId="5" fillId="2" borderId="0" xfId="0" applyFont="1" applyFill="1"/>
    <xf numFmtId="165" fontId="0" fillId="0" borderId="0" xfId="0" applyNumberFormat="1"/>
    <xf numFmtId="0" fontId="6" fillId="6" borderId="0" xfId="0" applyFont="1" applyFill="1"/>
    <xf numFmtId="165" fontId="6" fillId="6" borderId="0" xfId="1" applyFont="1" applyFill="1"/>
    <xf numFmtId="0" fontId="9" fillId="0" borderId="1" xfId="0" applyFont="1" applyBorder="1"/>
    <xf numFmtId="165" fontId="10" fillId="0" borderId="0" xfId="1" applyFont="1"/>
    <xf numFmtId="164" fontId="4" fillId="4" borderId="22" xfId="0" applyNumberFormat="1" applyFont="1" applyFill="1" applyBorder="1"/>
    <xf numFmtId="0" fontId="2" fillId="4" borderId="1" xfId="0" applyFont="1" applyFill="1" applyBorder="1"/>
    <xf numFmtId="0" fontId="11" fillId="3" borderId="0" xfId="0" applyFont="1" applyFill="1"/>
    <xf numFmtId="167" fontId="1" fillId="0" borderId="1" xfId="1" applyNumberFormat="1" applyFont="1" applyBorder="1"/>
    <xf numFmtId="164" fontId="2" fillId="2" borderId="1" xfId="1" applyNumberFormat="1" applyFont="1" applyFill="1" applyBorder="1"/>
    <xf numFmtId="165" fontId="4" fillId="0" borderId="1" xfId="1" applyFont="1" applyBorder="1"/>
    <xf numFmtId="167" fontId="9" fillId="0" borderId="1" xfId="0" applyNumberFormat="1" applyFont="1" applyBorder="1"/>
    <xf numFmtId="0" fontId="14" fillId="0" borderId="34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8" xfId="0" applyFont="1" applyBorder="1"/>
    <xf numFmtId="0" fontId="14" fillId="0" borderId="0" xfId="0" applyFont="1"/>
    <xf numFmtId="0" fontId="14" fillId="0" borderId="39" xfId="0" applyFont="1" applyBorder="1"/>
    <xf numFmtId="0" fontId="14" fillId="0" borderId="40" xfId="0" applyFont="1" applyBorder="1"/>
    <xf numFmtId="0" fontId="14" fillId="0" borderId="41" xfId="0" applyFont="1" applyBorder="1"/>
    <xf numFmtId="168" fontId="14" fillId="2" borderId="0" xfId="0" applyNumberFormat="1" applyFont="1" applyFill="1"/>
    <xf numFmtId="1" fontId="14" fillId="0" borderId="0" xfId="0" applyNumberFormat="1" applyFont="1"/>
    <xf numFmtId="0" fontId="14" fillId="0" borderId="45" xfId="0" applyFont="1" applyBorder="1"/>
    <xf numFmtId="0" fontId="14" fillId="0" borderId="46" xfId="0" applyFont="1" applyBorder="1"/>
    <xf numFmtId="0" fontId="14" fillId="0" borderId="47" xfId="0" applyFont="1" applyBorder="1"/>
    <xf numFmtId="0" fontId="14" fillId="0" borderId="49" xfId="0" applyFont="1" applyBorder="1"/>
    <xf numFmtId="0" fontId="2" fillId="3" borderId="0" xfId="0" applyFont="1" applyFill="1"/>
    <xf numFmtId="43" fontId="2" fillId="3" borderId="0" xfId="3" applyFont="1" applyFill="1"/>
    <xf numFmtId="0" fontId="4" fillId="3" borderId="14" xfId="0" applyFont="1" applyFill="1" applyBorder="1"/>
    <xf numFmtId="0" fontId="4" fillId="3" borderId="12" xfId="0" applyFont="1" applyFill="1" applyBorder="1" applyAlignment="1">
      <alignment wrapText="1"/>
    </xf>
    <xf numFmtId="0" fontId="4" fillId="3" borderId="12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0" xfId="0" applyFont="1" applyFill="1"/>
    <xf numFmtId="0" fontId="4" fillId="3" borderId="17" xfId="0" applyFont="1" applyFill="1" applyBorder="1"/>
    <xf numFmtId="0" fontId="4" fillId="3" borderId="9" xfId="0" applyFont="1" applyFill="1" applyBorder="1"/>
    <xf numFmtId="0" fontId="4" fillId="3" borderId="10" xfId="0" applyFont="1" applyFill="1" applyBorder="1"/>
    <xf numFmtId="0" fontId="4" fillId="3" borderId="11" xfId="0" applyFont="1" applyFill="1" applyBorder="1"/>
    <xf numFmtId="0" fontId="2" fillId="0" borderId="0" xfId="0" applyFont="1"/>
    <xf numFmtId="0" fontId="4" fillId="5" borderId="14" xfId="0" applyFont="1" applyFill="1" applyBorder="1"/>
    <xf numFmtId="0" fontId="4" fillId="5" borderId="12" xfId="0" applyFont="1" applyFill="1" applyBorder="1"/>
    <xf numFmtId="10" fontId="4" fillId="5" borderId="12" xfId="0" applyNumberFormat="1" applyFont="1" applyFill="1" applyBorder="1"/>
    <xf numFmtId="0" fontId="2" fillId="5" borderId="12" xfId="0" applyFont="1" applyFill="1" applyBorder="1"/>
    <xf numFmtId="0" fontId="2" fillId="5" borderId="15" xfId="0" applyFont="1" applyFill="1" applyBorder="1"/>
    <xf numFmtId="0" fontId="17" fillId="0" borderId="1" xfId="0" applyFont="1" applyBorder="1"/>
    <xf numFmtId="0" fontId="2" fillId="0" borderId="1" xfId="0" applyFont="1" applyBorder="1"/>
    <xf numFmtId="164" fontId="2" fillId="2" borderId="1" xfId="0" applyNumberFormat="1" applyFont="1" applyFill="1" applyBorder="1"/>
    <xf numFmtId="164" fontId="2" fillId="9" borderId="1" xfId="0" applyNumberFormat="1" applyFont="1" applyFill="1" applyBorder="1"/>
    <xf numFmtId="164" fontId="2" fillId="9" borderId="6" xfId="0" applyNumberFormat="1" applyFont="1" applyFill="1" applyBorder="1"/>
    <xf numFmtId="164" fontId="2" fillId="4" borderId="6" xfId="0" applyNumberFormat="1" applyFont="1" applyFill="1" applyBorder="1"/>
    <xf numFmtId="164" fontId="4" fillId="4" borderId="21" xfId="1" applyNumberFormat="1" applyFont="1" applyFill="1" applyBorder="1"/>
    <xf numFmtId="164" fontId="2" fillId="2" borderId="22" xfId="0" applyNumberFormat="1" applyFont="1" applyFill="1" applyBorder="1"/>
    <xf numFmtId="165" fontId="8" fillId="4" borderId="3" xfId="1" applyFont="1" applyFill="1" applyBorder="1"/>
    <xf numFmtId="165" fontId="2" fillId="0" borderId="3" xfId="1" applyFont="1" applyBorder="1"/>
    <xf numFmtId="164" fontId="4" fillId="4" borderId="13" xfId="1" applyNumberFormat="1" applyFont="1" applyFill="1" applyBorder="1"/>
    <xf numFmtId="165" fontId="2" fillId="0" borderId="2" xfId="1" applyFont="1" applyBorder="1"/>
    <xf numFmtId="165" fontId="4" fillId="4" borderId="13" xfId="1" applyFont="1" applyFill="1" applyBorder="1"/>
    <xf numFmtId="165" fontId="2" fillId="4" borderId="3" xfId="1" applyFont="1" applyFill="1" applyBorder="1"/>
    <xf numFmtId="165" fontId="4" fillId="4" borderId="21" xfId="1" applyFont="1" applyFill="1" applyBorder="1"/>
    <xf numFmtId="0" fontId="2" fillId="2" borderId="1" xfId="0" applyFont="1" applyFill="1" applyBorder="1"/>
    <xf numFmtId="0" fontId="2" fillId="0" borderId="6" xfId="0" applyFont="1" applyBorder="1"/>
    <xf numFmtId="16" fontId="2" fillId="0" borderId="1" xfId="0" applyNumberFormat="1" applyFont="1" applyBorder="1"/>
    <xf numFmtId="16" fontId="2" fillId="0" borderId="6" xfId="0" applyNumberFormat="1" applyFont="1" applyBorder="1" applyAlignment="1">
      <alignment vertical="center" wrapText="1"/>
    </xf>
    <xf numFmtId="16" fontId="2" fillId="0" borderId="7" xfId="0" applyNumberFormat="1" applyFont="1" applyBorder="1" applyAlignment="1">
      <alignment vertical="center" wrapText="1"/>
    </xf>
    <xf numFmtId="165" fontId="4" fillId="4" borderId="2" xfId="1" applyFont="1" applyFill="1" applyBorder="1"/>
    <xf numFmtId="165" fontId="2" fillId="2" borderId="3" xfId="1" applyFont="1" applyFill="1" applyBorder="1"/>
    <xf numFmtId="165" fontId="2" fillId="2" borderId="2" xfId="1" applyFont="1" applyFill="1" applyBorder="1"/>
    <xf numFmtId="0" fontId="2" fillId="0" borderId="4" xfId="0" applyFont="1" applyBorder="1"/>
    <xf numFmtId="0" fontId="4" fillId="8" borderId="1" xfId="0" applyFont="1" applyFill="1" applyBorder="1"/>
    <xf numFmtId="0" fontId="4" fillId="8" borderId="6" xfId="0" applyFont="1" applyFill="1" applyBorder="1"/>
    <xf numFmtId="165" fontId="4" fillId="8" borderId="13" xfId="1" applyFont="1" applyFill="1" applyBorder="1"/>
    <xf numFmtId="0" fontId="2" fillId="0" borderId="16" xfId="0" applyFont="1" applyBorder="1"/>
    <xf numFmtId="0" fontId="2" fillId="0" borderId="17" xfId="0" applyFont="1" applyBorder="1"/>
    <xf numFmtId="0" fontId="4" fillId="5" borderId="9" xfId="0" applyFont="1" applyFill="1" applyBorder="1"/>
    <xf numFmtId="10" fontId="4" fillId="5" borderId="10" xfId="0" applyNumberFormat="1" applyFont="1" applyFill="1" applyBorder="1"/>
    <xf numFmtId="0" fontId="4" fillId="5" borderId="10" xfId="0" applyFont="1" applyFill="1" applyBorder="1"/>
    <xf numFmtId="165" fontId="4" fillId="5" borderId="11" xfId="0" applyNumberFormat="1" applyFont="1" applyFill="1" applyBorder="1"/>
    <xf numFmtId="0" fontId="2" fillId="4" borderId="23" xfId="0" applyFont="1" applyFill="1" applyBorder="1"/>
    <xf numFmtId="165" fontId="2" fillId="0" borderId="24" xfId="1" applyFont="1" applyBorder="1"/>
    <xf numFmtId="165" fontId="2" fillId="0" borderId="0" xfId="0" applyNumberFormat="1" applyFont="1"/>
    <xf numFmtId="165" fontId="4" fillId="4" borderId="25" xfId="1" applyFont="1" applyFill="1" applyBorder="1"/>
    <xf numFmtId="0" fontId="4" fillId="4" borderId="0" xfId="0" applyFont="1" applyFill="1"/>
    <xf numFmtId="165" fontId="4" fillId="4" borderId="0" xfId="1" applyFont="1" applyFill="1"/>
    <xf numFmtId="0" fontId="2" fillId="2" borderId="0" xfId="0" applyFont="1" applyFill="1"/>
    <xf numFmtId="0" fontId="4" fillId="7" borderId="9" xfId="0" applyFont="1" applyFill="1" applyBorder="1"/>
    <xf numFmtId="165" fontId="4" fillId="7" borderId="11" xfId="0" applyNumberFormat="1" applyFont="1" applyFill="1" applyBorder="1"/>
    <xf numFmtId="0" fontId="4" fillId="7" borderId="16" xfId="0" applyFont="1" applyFill="1" applyBorder="1"/>
    <xf numFmtId="165" fontId="4" fillId="7" borderId="17" xfId="0" applyNumberFormat="1" applyFont="1" applyFill="1" applyBorder="1"/>
    <xf numFmtId="0" fontId="4" fillId="7" borderId="1" xfId="0" applyFont="1" applyFill="1" applyBorder="1"/>
    <xf numFmtId="165" fontId="4" fillId="7" borderId="1" xfId="0" applyNumberFormat="1" applyFont="1" applyFill="1" applyBorder="1"/>
    <xf numFmtId="0" fontId="7" fillId="6" borderId="0" xfId="0" applyFont="1" applyFill="1"/>
    <xf numFmtId="165" fontId="7" fillId="2" borderId="1" xfId="1" applyFont="1" applyFill="1" applyBorder="1"/>
    <xf numFmtId="166" fontId="3" fillId="0" borderId="0" xfId="0" applyNumberFormat="1" applyFont="1"/>
    <xf numFmtId="4" fontId="2" fillId="0" borderId="0" xfId="0" applyNumberFormat="1" applyFont="1"/>
    <xf numFmtId="0" fontId="7" fillId="0" borderId="1" xfId="0" applyFont="1" applyBorder="1"/>
    <xf numFmtId="165" fontId="3" fillId="2" borderId="1" xfId="1" applyFont="1" applyFill="1" applyBorder="1"/>
    <xf numFmtId="0" fontId="7" fillId="0" borderId="1" xfId="0" applyFont="1" applyBorder="1" applyAlignment="1">
      <alignment vertical="center" wrapText="1"/>
    </xf>
    <xf numFmtId="0" fontId="4" fillId="0" borderId="1" xfId="0" applyFont="1" applyBorder="1"/>
    <xf numFmtId="4" fontId="7" fillId="0" borderId="0" xfId="0" applyNumberFormat="1" applyFont="1"/>
    <xf numFmtId="165" fontId="2" fillId="0" borderId="0" xfId="1" applyFont="1"/>
    <xf numFmtId="165" fontId="3" fillId="0" borderId="0" xfId="1" applyFont="1"/>
    <xf numFmtId="4" fontId="7" fillId="0" borderId="0" xfId="0" applyNumberFormat="1" applyFont="1" applyAlignment="1">
      <alignment wrapText="1"/>
    </xf>
    <xf numFmtId="165" fontId="2" fillId="0" borderId="0" xfId="0" applyNumberFormat="1" applyFont="1" applyAlignment="1">
      <alignment wrapText="1"/>
    </xf>
    <xf numFmtId="0" fontId="4" fillId="6" borderId="1" xfId="0" applyFont="1" applyFill="1" applyBorder="1"/>
    <xf numFmtId="0" fontId="2" fillId="0" borderId="0" xfId="0" applyFont="1" applyAlignment="1">
      <alignment wrapText="1"/>
    </xf>
    <xf numFmtId="166" fontId="2" fillId="0" borderId="0" xfId="0" applyNumberFormat="1" applyFont="1"/>
    <xf numFmtId="167" fontId="10" fillId="7" borderId="1" xfId="0" applyNumberFormat="1" applyFont="1" applyFill="1" applyBorder="1"/>
    <xf numFmtId="165" fontId="5" fillId="0" borderId="1" xfId="1" applyFont="1" applyBorder="1"/>
    <xf numFmtId="0" fontId="2" fillId="0" borderId="1" xfId="0" applyFont="1" applyBorder="1" applyAlignment="1">
      <alignment wrapText="1"/>
    </xf>
    <xf numFmtId="165" fontId="19" fillId="2" borderId="1" xfId="1" applyFont="1" applyFill="1" applyBorder="1"/>
    <xf numFmtId="165" fontId="5" fillId="2" borderId="1" xfId="1" applyFont="1" applyFill="1" applyBorder="1" applyAlignment="1">
      <alignment horizontal="right"/>
    </xf>
    <xf numFmtId="0" fontId="9" fillId="2" borderId="1" xfId="0" applyFont="1" applyFill="1" applyBorder="1"/>
    <xf numFmtId="0" fontId="0" fillId="9" borderId="0" xfId="0" applyFill="1"/>
    <xf numFmtId="165" fontId="5" fillId="2" borderId="1" xfId="1" applyFont="1" applyFill="1" applyBorder="1"/>
    <xf numFmtId="0" fontId="6" fillId="6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 wrapText="1"/>
    </xf>
    <xf numFmtId="0" fontId="4" fillId="9" borderId="0" xfId="0" quotePrefix="1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27" xfId="0" applyFont="1" applyFill="1" applyBorder="1" applyAlignment="1">
      <alignment horizontal="left"/>
    </xf>
    <xf numFmtId="0" fontId="4" fillId="4" borderId="28" xfId="0" applyFont="1" applyFill="1" applyBorder="1" applyAlignment="1">
      <alignment horizontal="left"/>
    </xf>
    <xf numFmtId="0" fontId="4" fillId="4" borderId="29" xfId="0" applyFont="1" applyFill="1" applyBorder="1" applyAlignment="1">
      <alignment horizontal="left"/>
    </xf>
    <xf numFmtId="0" fontId="4" fillId="4" borderId="30" xfId="0" applyFont="1" applyFill="1" applyBorder="1" applyAlignment="1">
      <alignment horizontal="left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18" fillId="9" borderId="0" xfId="0" applyFont="1" applyFill="1" applyAlignment="1">
      <alignment horizontal="center" vertical="center" wrapText="1"/>
    </xf>
    <xf numFmtId="165" fontId="0" fillId="3" borderId="8" xfId="1" applyFont="1" applyFill="1" applyBorder="1" applyAlignment="1">
      <alignment horizontal="center" vertical="center"/>
    </xf>
    <xf numFmtId="165" fontId="0" fillId="3" borderId="0" xfId="1" applyFont="1" applyFill="1" applyAlignment="1">
      <alignment horizontal="right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14" fillId="0" borderId="36" xfId="0" applyFont="1" applyBorder="1" applyAlignment="1">
      <alignment horizontal="center"/>
    </xf>
    <xf numFmtId="0" fontId="13" fillId="0" borderId="37" xfId="0" applyFont="1" applyBorder="1"/>
    <xf numFmtId="0" fontId="14" fillId="0" borderId="36" xfId="0" applyFont="1" applyBorder="1"/>
    <xf numFmtId="0" fontId="14" fillId="0" borderId="47" xfId="0" applyFont="1" applyBorder="1"/>
    <xf numFmtId="0" fontId="13" fillId="0" borderId="48" xfId="0" applyFont="1" applyBorder="1"/>
    <xf numFmtId="169" fontId="14" fillId="11" borderId="31" xfId="0" applyNumberFormat="1" applyFont="1" applyFill="1" applyBorder="1" applyAlignment="1">
      <alignment horizontal="center"/>
    </xf>
    <xf numFmtId="0" fontId="13" fillId="0" borderId="33" xfId="0" applyFont="1" applyBorder="1"/>
    <xf numFmtId="0" fontId="12" fillId="10" borderId="31" xfId="0" applyFont="1" applyFill="1" applyBorder="1" applyAlignment="1">
      <alignment horizontal="center"/>
    </xf>
    <xf numFmtId="0" fontId="13" fillId="0" borderId="32" xfId="0" applyFont="1" applyBorder="1"/>
    <xf numFmtId="0" fontId="15" fillId="0" borderId="31" xfId="0" applyFont="1" applyBorder="1" applyAlignment="1">
      <alignment horizontal="center"/>
    </xf>
    <xf numFmtId="0" fontId="14" fillId="11" borderId="42" xfId="0" applyFont="1" applyFill="1" applyBorder="1" applyAlignment="1">
      <alignment horizontal="center"/>
    </xf>
    <xf numFmtId="0" fontId="13" fillId="0" borderId="43" xfId="0" applyFont="1" applyBorder="1"/>
    <xf numFmtId="0" fontId="13" fillId="0" borderId="44" xfId="0" applyFont="1" applyBorder="1"/>
    <xf numFmtId="0" fontId="2" fillId="0" borderId="1" xfId="0" applyFont="1" applyBorder="1" applyAlignment="1"/>
    <xf numFmtId="164" fontId="5" fillId="2" borderId="1" xfId="0" applyNumberFormat="1" applyFont="1" applyFill="1" applyBorder="1"/>
    <xf numFmtId="173" fontId="2" fillId="0" borderId="1" xfId="1" applyNumberFormat="1" applyFont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142875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6"/>
  <sheetViews>
    <sheetView tabSelected="1" topLeftCell="A42" workbookViewId="0">
      <selection activeCell="B106" sqref="B106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7" width="13" bestFit="1" customWidth="1"/>
    <col min="11" max="11" width="18" customWidth="1"/>
    <col min="12" max="12" width="18.28515625" customWidth="1"/>
  </cols>
  <sheetData>
    <row r="1" spans="1:5" ht="15.75" thickBot="1" x14ac:dyDescent="0.3">
      <c r="A1" s="58"/>
      <c r="B1" s="59" t="s">
        <v>150</v>
      </c>
      <c r="C1" s="58"/>
      <c r="D1" s="58"/>
      <c r="E1" s="58"/>
    </row>
    <row r="2" spans="1:5" ht="30" x14ac:dyDescent="0.25">
      <c r="A2" s="60"/>
      <c r="B2" s="61" t="s">
        <v>145</v>
      </c>
      <c r="C2" s="62"/>
      <c r="D2" s="62"/>
      <c r="E2" s="63"/>
    </row>
    <row r="3" spans="1:5" x14ac:dyDescent="0.25">
      <c r="A3" s="64"/>
      <c r="B3" s="65" t="s">
        <v>48</v>
      </c>
      <c r="C3" s="65"/>
      <c r="D3" s="65"/>
      <c r="E3" s="66"/>
    </row>
    <row r="4" spans="1:5" ht="15" customHeight="1" x14ac:dyDescent="0.25">
      <c r="A4" s="64"/>
      <c r="B4" s="65" t="s">
        <v>174</v>
      </c>
      <c r="C4" s="65" t="s">
        <v>173</v>
      </c>
      <c r="D4" s="65"/>
      <c r="E4" s="66"/>
    </row>
    <row r="5" spans="1:5" ht="15" customHeight="1" thickBot="1" x14ac:dyDescent="0.3">
      <c r="A5" s="64"/>
      <c r="B5" s="65" t="s">
        <v>175</v>
      </c>
      <c r="C5" s="65"/>
      <c r="D5" s="65"/>
      <c r="E5" s="66"/>
    </row>
    <row r="6" spans="1:5" ht="15.75" thickBot="1" x14ac:dyDescent="0.3">
      <c r="A6" s="67" t="s">
        <v>0</v>
      </c>
      <c r="B6" s="68" t="s">
        <v>187</v>
      </c>
      <c r="C6" s="68"/>
      <c r="D6" s="68" t="s">
        <v>141</v>
      </c>
      <c r="E6" s="69"/>
    </row>
    <row r="7" spans="1:5" ht="15.75" thickBot="1" x14ac:dyDescent="0.3">
      <c r="A7" s="64"/>
      <c r="B7" s="65"/>
      <c r="C7" s="65"/>
      <c r="D7" s="65"/>
      <c r="E7" s="66"/>
    </row>
    <row r="8" spans="1:5" ht="15.75" thickBot="1" x14ac:dyDescent="0.3">
      <c r="A8" s="67" t="s">
        <v>47</v>
      </c>
      <c r="B8" s="68"/>
      <c r="C8" s="68"/>
      <c r="D8" s="68"/>
      <c r="E8" s="69"/>
    </row>
    <row r="9" spans="1:5" x14ac:dyDescent="0.25">
      <c r="A9" s="70"/>
      <c r="B9" s="70"/>
      <c r="C9" s="70"/>
      <c r="D9" s="70"/>
      <c r="E9" s="70"/>
    </row>
    <row r="10" spans="1:5" hidden="1" x14ac:dyDescent="0.25">
      <c r="A10" s="70"/>
      <c r="B10" s="70"/>
      <c r="C10" s="70"/>
      <c r="D10" s="70"/>
      <c r="E10" s="70"/>
    </row>
    <row r="11" spans="1:5" hidden="1" x14ac:dyDescent="0.25">
      <c r="A11" s="70"/>
      <c r="B11" s="70"/>
      <c r="C11" s="70"/>
      <c r="D11" s="70"/>
      <c r="E11" s="70"/>
    </row>
    <row r="12" spans="1:5" hidden="1" x14ac:dyDescent="0.25">
      <c r="A12" s="70"/>
      <c r="B12" s="70"/>
      <c r="C12" s="70"/>
      <c r="D12" s="70"/>
      <c r="E12" s="70"/>
    </row>
    <row r="13" spans="1:5" hidden="1" x14ac:dyDescent="0.25">
      <c r="A13" s="70"/>
      <c r="B13" s="70"/>
      <c r="C13" s="70"/>
      <c r="D13" s="70"/>
      <c r="E13" s="70"/>
    </row>
    <row r="14" spans="1:5" x14ac:dyDescent="0.25">
      <c r="A14" s="70"/>
      <c r="B14" s="70"/>
      <c r="C14" s="70"/>
      <c r="D14" s="70"/>
      <c r="E14" s="70"/>
    </row>
    <row r="15" spans="1:5" ht="15" customHeight="1" x14ac:dyDescent="0.25">
      <c r="A15" s="147" t="s">
        <v>191</v>
      </c>
      <c r="B15" s="147"/>
      <c r="C15" s="147"/>
      <c r="D15" s="147"/>
      <c r="E15" s="147"/>
    </row>
    <row r="16" spans="1:5" ht="15" customHeight="1" x14ac:dyDescent="0.25">
      <c r="A16" s="147"/>
      <c r="B16" s="147"/>
      <c r="C16" s="147"/>
      <c r="D16" s="147"/>
      <c r="E16" s="147"/>
    </row>
    <row r="17" spans="1:5" ht="15" customHeight="1" x14ac:dyDescent="0.25">
      <c r="A17" s="147"/>
      <c r="B17" s="147"/>
      <c r="C17" s="147"/>
      <c r="D17" s="147"/>
      <c r="E17" s="147"/>
    </row>
    <row r="18" spans="1:5" ht="15" customHeight="1" x14ac:dyDescent="0.25">
      <c r="A18" s="147"/>
      <c r="B18" s="147"/>
      <c r="C18" s="147"/>
      <c r="D18" s="147"/>
      <c r="E18" s="147"/>
    </row>
    <row r="19" spans="1:5" ht="14.25" customHeight="1" x14ac:dyDescent="0.25">
      <c r="A19" s="70"/>
      <c r="B19" s="70"/>
      <c r="C19" s="70"/>
      <c r="D19" s="70"/>
      <c r="E19" s="70"/>
    </row>
    <row r="20" spans="1:5" hidden="1" x14ac:dyDescent="0.25">
      <c r="A20" s="70"/>
      <c r="B20" s="70"/>
      <c r="C20" s="70"/>
      <c r="D20" s="70"/>
      <c r="E20" s="70"/>
    </row>
    <row r="21" spans="1:5" ht="12" customHeight="1" x14ac:dyDescent="0.25">
      <c r="A21" s="70"/>
      <c r="B21" s="70"/>
      <c r="C21" s="70"/>
      <c r="D21" s="70"/>
      <c r="E21" s="70"/>
    </row>
    <row r="22" spans="1:5" ht="0.75" hidden="1" customHeight="1" x14ac:dyDescent="0.25">
      <c r="A22" s="148"/>
      <c r="B22" s="149"/>
      <c r="C22" s="149"/>
      <c r="D22" s="149"/>
      <c r="E22" s="149"/>
    </row>
    <row r="23" spans="1:5" hidden="1" x14ac:dyDescent="0.25">
      <c r="A23" s="149"/>
      <c r="B23" s="149"/>
      <c r="C23" s="149"/>
      <c r="D23" s="149"/>
      <c r="E23" s="149"/>
    </row>
    <row r="24" spans="1:5" hidden="1" x14ac:dyDescent="0.25">
      <c r="A24" s="149"/>
      <c r="B24" s="149"/>
      <c r="C24" s="149"/>
      <c r="D24" s="149"/>
      <c r="E24" s="149"/>
    </row>
    <row r="25" spans="1:5" hidden="1" x14ac:dyDescent="0.25">
      <c r="A25" s="149"/>
      <c r="B25" s="149"/>
      <c r="C25" s="149"/>
      <c r="D25" s="149"/>
      <c r="E25" s="149"/>
    </row>
    <row r="26" spans="1:5" hidden="1" x14ac:dyDescent="0.25">
      <c r="A26" s="149"/>
      <c r="B26" s="149"/>
      <c r="C26" s="149"/>
      <c r="D26" s="149"/>
      <c r="E26" s="149"/>
    </row>
    <row r="27" spans="1:5" ht="15.75" thickBot="1" x14ac:dyDescent="0.3">
      <c r="A27" s="70"/>
      <c r="B27" s="70"/>
      <c r="C27" s="70"/>
      <c r="D27" s="70"/>
      <c r="E27" s="70"/>
    </row>
    <row r="28" spans="1:5" x14ac:dyDescent="0.25">
      <c r="A28" s="71" t="s">
        <v>34</v>
      </c>
      <c r="B28" s="72"/>
      <c r="C28" s="73"/>
      <c r="D28" s="74"/>
      <c r="E28" s="75"/>
    </row>
    <row r="29" spans="1:5" x14ac:dyDescent="0.25">
      <c r="A29" s="19" t="s">
        <v>117</v>
      </c>
      <c r="B29" s="19"/>
      <c r="C29" s="19"/>
      <c r="D29" s="19"/>
      <c r="E29" s="19"/>
    </row>
    <row r="30" spans="1:5" ht="14.25" customHeight="1" x14ac:dyDescent="0.25">
      <c r="A30" s="76" t="s">
        <v>112</v>
      </c>
      <c r="B30" s="188" t="s">
        <v>192</v>
      </c>
      <c r="C30" s="77"/>
      <c r="D30" s="189">
        <v>2462481.7200000002</v>
      </c>
      <c r="E30" s="77"/>
    </row>
    <row r="31" spans="1:5" ht="15.75" customHeight="1" x14ac:dyDescent="0.25">
      <c r="A31" s="76"/>
      <c r="B31" s="140" t="s">
        <v>193</v>
      </c>
      <c r="C31" s="77"/>
      <c r="D31" s="189">
        <v>7810519.0499999998</v>
      </c>
      <c r="E31" s="77"/>
    </row>
    <row r="32" spans="1:5" x14ac:dyDescent="0.25">
      <c r="A32" s="76"/>
      <c r="B32" s="77" t="s">
        <v>142</v>
      </c>
      <c r="C32" s="77"/>
      <c r="D32" s="78">
        <v>-535589.77</v>
      </c>
      <c r="E32" s="77"/>
    </row>
    <row r="33" spans="1:7" hidden="1" x14ac:dyDescent="0.25">
      <c r="A33" s="76"/>
      <c r="B33" s="77"/>
      <c r="C33" s="77"/>
      <c r="D33" s="79"/>
      <c r="E33" s="77"/>
    </row>
    <row r="34" spans="1:7" hidden="1" x14ac:dyDescent="0.25">
      <c r="A34" s="77"/>
      <c r="B34" s="77"/>
      <c r="C34" s="77"/>
      <c r="D34" s="79"/>
      <c r="E34" s="77"/>
    </row>
    <row r="35" spans="1:7" hidden="1" x14ac:dyDescent="0.25">
      <c r="A35" s="77"/>
      <c r="B35" s="77"/>
      <c r="C35" s="77"/>
      <c r="D35" s="80"/>
      <c r="E35" s="77"/>
    </row>
    <row r="36" spans="1:7" hidden="1" x14ac:dyDescent="0.25">
      <c r="A36" s="77"/>
      <c r="B36" s="77"/>
      <c r="C36" s="77"/>
      <c r="D36" s="80"/>
      <c r="E36" s="77"/>
    </row>
    <row r="37" spans="1:7" ht="15.75" thickBot="1" x14ac:dyDescent="0.3">
      <c r="A37" s="20" t="s">
        <v>1</v>
      </c>
      <c r="B37" s="37"/>
      <c r="C37" s="37"/>
      <c r="D37" s="81"/>
      <c r="E37" s="82">
        <f>SUM(D27:D34)</f>
        <v>9737411</v>
      </c>
    </row>
    <row r="38" spans="1:7" hidden="1" x14ac:dyDescent="0.25">
      <c r="A38" s="77" t="s">
        <v>153</v>
      </c>
      <c r="B38" s="77"/>
      <c r="C38" s="77"/>
      <c r="D38" s="78"/>
      <c r="E38" s="77"/>
      <c r="G38">
        <v>235611</v>
      </c>
    </row>
    <row r="39" spans="1:7" hidden="1" x14ac:dyDescent="0.25">
      <c r="A39" s="77" t="s">
        <v>152</v>
      </c>
      <c r="B39" s="77"/>
      <c r="C39" s="77"/>
      <c r="D39" s="78"/>
      <c r="E39" s="77"/>
      <c r="G39" s="5">
        <f>E37+E41-G38</f>
        <v>9501800</v>
      </c>
    </row>
    <row r="40" spans="1:7" hidden="1" x14ac:dyDescent="0.25">
      <c r="A40" s="77" t="s">
        <v>142</v>
      </c>
      <c r="B40" s="77"/>
      <c r="C40" s="77"/>
      <c r="D40" s="83"/>
      <c r="E40" s="77"/>
    </row>
    <row r="41" spans="1:7" ht="15.75" hidden="1" thickBot="1" x14ac:dyDescent="0.3">
      <c r="A41" s="20" t="s">
        <v>151</v>
      </c>
      <c r="B41" s="20"/>
      <c r="C41" s="20"/>
      <c r="D41" s="36"/>
      <c r="E41" s="82">
        <f>SUM(D38:D40)</f>
        <v>0</v>
      </c>
      <c r="F41" s="5"/>
    </row>
    <row r="42" spans="1:7" x14ac:dyDescent="0.25">
      <c r="A42" s="19" t="s">
        <v>137</v>
      </c>
      <c r="B42" s="19"/>
      <c r="C42" s="19"/>
      <c r="D42" s="21"/>
      <c r="E42" s="84"/>
    </row>
    <row r="43" spans="1:7" x14ac:dyDescent="0.25">
      <c r="A43" s="77" t="s">
        <v>138</v>
      </c>
      <c r="B43" s="77" t="s">
        <v>188</v>
      </c>
      <c r="C43" s="77"/>
      <c r="D43" s="189">
        <v>30000</v>
      </c>
      <c r="E43" s="85"/>
    </row>
    <row r="44" spans="1:7" x14ac:dyDescent="0.25">
      <c r="A44" s="77" t="s">
        <v>139</v>
      </c>
      <c r="B44" s="77" t="s">
        <v>188</v>
      </c>
      <c r="C44" s="77"/>
      <c r="D44" s="189">
        <v>123100</v>
      </c>
      <c r="E44" s="85"/>
      <c r="G44" t="s">
        <v>194</v>
      </c>
    </row>
    <row r="45" spans="1:7" ht="15.75" thickBot="1" x14ac:dyDescent="0.3">
      <c r="A45" s="77"/>
      <c r="B45" s="77"/>
      <c r="C45" s="77"/>
      <c r="D45" s="17"/>
      <c r="E45" s="85"/>
    </row>
    <row r="46" spans="1:7" ht="15.75" thickBot="1" x14ac:dyDescent="0.3">
      <c r="A46" s="20" t="s">
        <v>113</v>
      </c>
      <c r="B46" s="20"/>
      <c r="C46" s="20"/>
      <c r="D46" s="25"/>
      <c r="E46" s="86">
        <f>SUM(D43:D44)</f>
        <v>153100</v>
      </c>
    </row>
    <row r="47" spans="1:7" x14ac:dyDescent="0.25">
      <c r="A47" s="19" t="s">
        <v>2</v>
      </c>
      <c r="B47" s="20"/>
      <c r="C47" s="20"/>
      <c r="D47" s="22"/>
      <c r="E47" s="22"/>
    </row>
    <row r="48" spans="1:7" x14ac:dyDescent="0.25">
      <c r="A48" s="76" t="s">
        <v>125</v>
      </c>
      <c r="B48" s="77"/>
      <c r="C48" s="77" t="s">
        <v>196</v>
      </c>
      <c r="D48" s="145">
        <v>28208</v>
      </c>
      <c r="E48" s="24"/>
    </row>
    <row r="49" spans="1:5" ht="15.75" thickBot="1" x14ac:dyDescent="0.3">
      <c r="A49" s="76"/>
      <c r="B49" s="77"/>
      <c r="C49" s="77"/>
      <c r="D49" s="17"/>
      <c r="E49" s="87"/>
    </row>
    <row r="50" spans="1:5" ht="15.75" thickBot="1" x14ac:dyDescent="0.3">
      <c r="A50" s="20" t="s">
        <v>3</v>
      </c>
      <c r="B50" s="20"/>
      <c r="C50" s="20"/>
      <c r="D50" s="25"/>
      <c r="E50" s="88">
        <f>SUM(D48)</f>
        <v>28208</v>
      </c>
    </row>
    <row r="51" spans="1:5" x14ac:dyDescent="0.25">
      <c r="A51" s="19" t="s">
        <v>114</v>
      </c>
      <c r="B51" s="37"/>
      <c r="C51" s="37"/>
      <c r="D51" s="26"/>
      <c r="E51" s="89"/>
    </row>
    <row r="52" spans="1:5" x14ac:dyDescent="0.25">
      <c r="A52" s="77" t="s">
        <v>182</v>
      </c>
      <c r="B52" s="77"/>
      <c r="C52" s="77" t="s">
        <v>199</v>
      </c>
      <c r="D52" s="145">
        <v>1147893.6299999999</v>
      </c>
      <c r="E52" s="24"/>
    </row>
    <row r="53" spans="1:5" x14ac:dyDescent="0.25">
      <c r="A53" s="77" t="s">
        <v>189</v>
      </c>
      <c r="B53" s="77" t="s">
        <v>128</v>
      </c>
      <c r="C53" s="77" t="s">
        <v>195</v>
      </c>
      <c r="D53" s="139">
        <v>110811.68</v>
      </c>
      <c r="E53" s="24"/>
    </row>
    <row r="54" spans="1:5" x14ac:dyDescent="0.25">
      <c r="A54" s="77" t="str">
        <f>A53</f>
        <v>Sindicatos periodo JULIO</v>
      </c>
      <c r="B54" s="77" t="s">
        <v>126</v>
      </c>
      <c r="C54" s="77" t="str">
        <f>C53</f>
        <v>Debito 14/07</v>
      </c>
      <c r="D54" s="145">
        <v>196457.31</v>
      </c>
      <c r="E54" s="24"/>
    </row>
    <row r="55" spans="1:5" x14ac:dyDescent="0.25">
      <c r="A55" s="77" t="str">
        <f>A54</f>
        <v>Sindicatos periodo JULIO</v>
      </c>
      <c r="B55" s="77" t="s">
        <v>127</v>
      </c>
      <c r="C55" s="77" t="str">
        <f>C54</f>
        <v>Debito 14/07</v>
      </c>
      <c r="D55" s="145">
        <v>12312.41</v>
      </c>
      <c r="E55" s="87"/>
    </row>
    <row r="56" spans="1:5" x14ac:dyDescent="0.25">
      <c r="A56" s="77"/>
      <c r="B56" s="77"/>
      <c r="C56" s="77"/>
      <c r="D56" s="17"/>
      <c r="E56" s="24"/>
    </row>
    <row r="57" spans="1:5" ht="15" customHeight="1" thickBot="1" x14ac:dyDescent="0.3">
      <c r="A57" s="20" t="s">
        <v>4</v>
      </c>
      <c r="B57" s="37"/>
      <c r="C57" s="37"/>
      <c r="D57" s="27"/>
      <c r="E57" s="90">
        <f>SUM(D52:D56)</f>
        <v>1467475.0299999998</v>
      </c>
    </row>
    <row r="58" spans="1:5" x14ac:dyDescent="0.25">
      <c r="A58" s="19" t="s">
        <v>116</v>
      </c>
      <c r="B58" s="37"/>
      <c r="C58" s="37"/>
      <c r="D58" s="26"/>
      <c r="E58" s="89"/>
    </row>
    <row r="59" spans="1:5" ht="14.25" customHeight="1" x14ac:dyDescent="0.25">
      <c r="A59" s="77" t="s">
        <v>198</v>
      </c>
      <c r="B59" s="91"/>
      <c r="C59" s="77"/>
      <c r="D59" s="145">
        <v>477093.49</v>
      </c>
      <c r="E59" s="24"/>
    </row>
    <row r="60" spans="1:5" ht="14.25" customHeight="1" x14ac:dyDescent="0.25">
      <c r="A60" s="77" t="s">
        <v>197</v>
      </c>
      <c r="B60" s="91"/>
      <c r="C60" s="77"/>
      <c r="D60" s="145">
        <v>486867.96</v>
      </c>
      <c r="E60" s="24"/>
    </row>
    <row r="61" spans="1:5" x14ac:dyDescent="0.25">
      <c r="A61" s="91" t="s">
        <v>176</v>
      </c>
      <c r="B61" s="91"/>
      <c r="C61" s="77"/>
      <c r="D61" s="145">
        <v>59700</v>
      </c>
      <c r="E61" s="17"/>
    </row>
    <row r="62" spans="1:5" ht="14.25" customHeight="1" x14ac:dyDescent="0.25">
      <c r="A62" s="77" t="s">
        <v>123</v>
      </c>
      <c r="B62" s="92"/>
      <c r="C62" s="93"/>
      <c r="D62" s="17">
        <v>0</v>
      </c>
      <c r="E62" s="24"/>
    </row>
    <row r="63" spans="1:5" x14ac:dyDescent="0.25">
      <c r="A63" s="77" t="s">
        <v>200</v>
      </c>
      <c r="B63" s="77"/>
      <c r="C63" s="93"/>
      <c r="D63" s="145">
        <v>115000</v>
      </c>
      <c r="E63" s="24"/>
    </row>
    <row r="64" spans="1:5" x14ac:dyDescent="0.25">
      <c r="A64" s="77" t="s">
        <v>147</v>
      </c>
      <c r="B64" s="77"/>
      <c r="C64" s="142"/>
      <c r="D64" s="142">
        <v>203720.4</v>
      </c>
      <c r="E64" s="24"/>
    </row>
    <row r="65" spans="1:5" x14ac:dyDescent="0.25">
      <c r="A65" s="77" t="s">
        <v>118</v>
      </c>
      <c r="B65" s="77"/>
      <c r="C65" s="145"/>
      <c r="D65" s="145">
        <v>180608.79</v>
      </c>
      <c r="E65" s="24"/>
    </row>
    <row r="66" spans="1:5" x14ac:dyDescent="0.25">
      <c r="A66" s="77" t="s">
        <v>124</v>
      </c>
      <c r="B66" s="77"/>
      <c r="C66" s="145"/>
      <c r="D66" s="145">
        <v>5931.42</v>
      </c>
      <c r="E66" s="142"/>
    </row>
    <row r="67" spans="1:5" x14ac:dyDescent="0.25">
      <c r="A67" s="77" t="s">
        <v>190</v>
      </c>
      <c r="B67" s="77"/>
      <c r="C67" s="77"/>
      <c r="D67" s="17"/>
      <c r="E67" s="24"/>
    </row>
    <row r="68" spans="1:5" ht="15.75" thickBot="1" x14ac:dyDescent="0.3">
      <c r="A68" s="77"/>
      <c r="B68" s="94"/>
      <c r="C68" s="95"/>
      <c r="D68" s="17"/>
      <c r="E68" s="87"/>
    </row>
    <row r="69" spans="1:5" ht="15.75" thickBot="1" x14ac:dyDescent="0.3">
      <c r="A69" s="20" t="s">
        <v>5</v>
      </c>
      <c r="B69" s="20"/>
      <c r="C69" s="20"/>
      <c r="D69" s="25"/>
      <c r="E69" s="88">
        <f>SUM(D59:D68)</f>
        <v>1528922.0599999998</v>
      </c>
    </row>
    <row r="70" spans="1:5" ht="15.75" thickBot="1" x14ac:dyDescent="0.3">
      <c r="A70" s="19" t="s">
        <v>115</v>
      </c>
      <c r="B70" s="20"/>
      <c r="C70" s="20"/>
      <c r="D70" s="25"/>
      <c r="E70" s="88"/>
    </row>
    <row r="71" spans="1:5" x14ac:dyDescent="0.25">
      <c r="A71" s="77" t="s">
        <v>158</v>
      </c>
      <c r="B71" s="77"/>
      <c r="C71" s="77"/>
      <c r="D71" s="145">
        <v>49294.58</v>
      </c>
      <c r="E71" s="85"/>
    </row>
    <row r="72" spans="1:5" x14ac:dyDescent="0.25">
      <c r="A72" s="77" t="s">
        <v>177</v>
      </c>
      <c r="B72" s="77"/>
      <c r="C72" s="77"/>
      <c r="D72" s="17">
        <v>52084.53</v>
      </c>
      <c r="E72" s="24"/>
    </row>
    <row r="73" spans="1:5" x14ac:dyDescent="0.25">
      <c r="A73" s="77" t="s">
        <v>146</v>
      </c>
      <c r="B73" s="77"/>
      <c r="C73" s="77"/>
      <c r="D73" s="139">
        <v>2350</v>
      </c>
      <c r="E73" s="24"/>
    </row>
    <row r="74" spans="1:5" x14ac:dyDescent="0.25">
      <c r="A74" s="77"/>
      <c r="B74" s="77"/>
      <c r="C74" s="77"/>
      <c r="D74" s="24"/>
      <c r="E74" s="17"/>
    </row>
    <row r="75" spans="1:5" ht="15.75" thickBot="1" x14ac:dyDescent="0.3">
      <c r="A75" s="20" t="s">
        <v>16</v>
      </c>
      <c r="B75" s="19"/>
      <c r="C75" s="19"/>
      <c r="D75" s="19"/>
      <c r="E75" s="96">
        <f>SUM(D71:D74)</f>
        <v>103729.11</v>
      </c>
    </row>
    <row r="76" spans="1:5" ht="15.75" thickBot="1" x14ac:dyDescent="0.3">
      <c r="A76" s="19" t="s">
        <v>38</v>
      </c>
      <c r="B76" s="20"/>
      <c r="C76" s="20"/>
      <c r="D76" s="12"/>
      <c r="E76" s="88"/>
    </row>
    <row r="77" spans="1:5" x14ac:dyDescent="0.25">
      <c r="A77" s="77" t="s">
        <v>38</v>
      </c>
      <c r="B77" s="77"/>
      <c r="C77" s="77"/>
      <c r="D77" s="145">
        <f>92201.5+29000</f>
        <v>121201.5</v>
      </c>
      <c r="E77" s="97"/>
    </row>
    <row r="78" spans="1:5" ht="15.75" thickBot="1" x14ac:dyDescent="0.3">
      <c r="A78" s="76"/>
      <c r="B78" s="77"/>
      <c r="C78" s="77"/>
      <c r="D78" s="17"/>
      <c r="E78" s="98"/>
    </row>
    <row r="79" spans="1:5" ht="15.75" thickBot="1" x14ac:dyDescent="0.3">
      <c r="A79" s="20" t="s">
        <v>113</v>
      </c>
      <c r="B79" s="20"/>
      <c r="C79" s="20"/>
      <c r="D79" s="12"/>
      <c r="E79" s="88">
        <f>SUM(D77:D78)</f>
        <v>121201.5</v>
      </c>
    </row>
    <row r="80" spans="1:5" ht="15.75" thickBot="1" x14ac:dyDescent="0.3">
      <c r="A80" s="77"/>
      <c r="B80" s="77"/>
      <c r="C80" s="77"/>
      <c r="D80" s="77"/>
      <c r="E80" s="99"/>
    </row>
    <row r="81" spans="1:7" ht="15.75" thickBot="1" x14ac:dyDescent="0.3">
      <c r="A81" s="100" t="s">
        <v>183</v>
      </c>
      <c r="B81" s="100"/>
      <c r="C81" s="100"/>
      <c r="D81" s="101"/>
      <c r="E81" s="102"/>
    </row>
    <row r="82" spans="1:7" ht="15.75" thickBot="1" x14ac:dyDescent="0.3">
      <c r="A82" s="103"/>
      <c r="B82" s="70"/>
      <c r="C82" s="70"/>
      <c r="D82" s="70"/>
      <c r="E82" s="104"/>
      <c r="F82" s="31"/>
    </row>
    <row r="83" spans="1:7" ht="15.75" thickBot="1" x14ac:dyDescent="0.3">
      <c r="A83" s="105" t="s">
        <v>39</v>
      </c>
      <c r="B83" s="106"/>
      <c r="C83" s="107"/>
      <c r="D83" s="107"/>
      <c r="E83" s="108">
        <f>(SUM(E30:E81))</f>
        <v>13140046.699999999</v>
      </c>
      <c r="F83" s="31"/>
      <c r="G83" s="31"/>
    </row>
    <row r="84" spans="1:7" x14ac:dyDescent="0.25">
      <c r="A84" s="70"/>
      <c r="B84" s="70"/>
      <c r="C84" s="70"/>
      <c r="D84" s="70"/>
      <c r="E84" s="70"/>
    </row>
    <row r="85" spans="1:7" ht="15.75" thickBot="1" x14ac:dyDescent="0.3">
      <c r="A85" s="70"/>
      <c r="B85" s="70"/>
      <c r="C85" s="70"/>
      <c r="D85" s="70"/>
      <c r="E85" s="70"/>
      <c r="F85" s="31"/>
    </row>
    <row r="86" spans="1:7" x14ac:dyDescent="0.25">
      <c r="A86" s="158" t="s">
        <v>154</v>
      </c>
      <c r="B86" s="159"/>
      <c r="C86" s="109"/>
      <c r="D86" s="70"/>
      <c r="E86" s="70"/>
    </row>
    <row r="87" spans="1:7" ht="15" customHeight="1" x14ac:dyDescent="0.25">
      <c r="A87" s="150"/>
      <c r="B87" s="151"/>
      <c r="C87" s="17"/>
      <c r="D87" s="70"/>
      <c r="E87" s="70"/>
    </row>
    <row r="88" spans="1:7" x14ac:dyDescent="0.25">
      <c r="A88" s="152"/>
      <c r="B88" s="153"/>
      <c r="C88" s="17"/>
      <c r="D88" s="70"/>
      <c r="E88" s="70"/>
    </row>
    <row r="89" spans="1:7" x14ac:dyDescent="0.25">
      <c r="A89" s="154"/>
      <c r="B89" s="155"/>
      <c r="C89" s="110"/>
      <c r="D89" s="70"/>
      <c r="E89" s="111"/>
    </row>
    <row r="90" spans="1:7" ht="15.75" thickBot="1" x14ac:dyDescent="0.3">
      <c r="A90" s="156" t="s">
        <v>16</v>
      </c>
      <c r="B90" s="157"/>
      <c r="C90" s="112">
        <f>SUM(C87:C89)</f>
        <v>0</v>
      </c>
      <c r="D90" s="70"/>
      <c r="E90" s="70"/>
    </row>
    <row r="91" spans="1:7" x14ac:dyDescent="0.25">
      <c r="A91" s="70"/>
      <c r="B91" s="70"/>
      <c r="C91" s="70"/>
      <c r="D91" s="70"/>
      <c r="E91" s="70"/>
    </row>
    <row r="92" spans="1:7" x14ac:dyDescent="0.25">
      <c r="A92" s="113" t="s">
        <v>159</v>
      </c>
      <c r="B92" s="113"/>
      <c r="C92" s="114"/>
      <c r="D92" s="115"/>
      <c r="E92" s="70"/>
    </row>
    <row r="93" spans="1:7" ht="15.75" thickBot="1" x14ac:dyDescent="0.3">
      <c r="A93" s="70"/>
      <c r="B93" s="70"/>
      <c r="C93" s="70"/>
      <c r="D93" s="70"/>
      <c r="E93" s="70"/>
    </row>
    <row r="94" spans="1:7" ht="15.75" thickBot="1" x14ac:dyDescent="0.3">
      <c r="A94" s="116" t="s">
        <v>40</v>
      </c>
      <c r="B94" s="117">
        <f>E83</f>
        <v>13140046.699999999</v>
      </c>
      <c r="C94" s="70"/>
      <c r="D94" s="70"/>
      <c r="E94" s="111"/>
    </row>
    <row r="95" spans="1:7" x14ac:dyDescent="0.25">
      <c r="A95" s="118" t="s">
        <v>41</v>
      </c>
      <c r="B95" s="119">
        <f>E83-E81</f>
        <v>13140046.699999999</v>
      </c>
      <c r="C95" s="70"/>
      <c r="D95" s="70"/>
      <c r="E95" s="70"/>
    </row>
    <row r="96" spans="1:7" x14ac:dyDescent="0.25">
      <c r="A96" s="120" t="s">
        <v>156</v>
      </c>
      <c r="B96" s="121">
        <f>C90+C92</f>
        <v>0</v>
      </c>
      <c r="C96" s="70"/>
      <c r="D96" s="70"/>
      <c r="E96" s="70"/>
    </row>
    <row r="97" spans="1:5" x14ac:dyDescent="0.25">
      <c r="A97" s="120" t="s">
        <v>155</v>
      </c>
      <c r="B97" s="121">
        <f>C90</f>
        <v>0</v>
      </c>
      <c r="C97" s="70"/>
      <c r="D97" s="70"/>
      <c r="E97" s="70"/>
    </row>
    <row r="98" spans="1:5" x14ac:dyDescent="0.25">
      <c r="A98" s="120" t="s">
        <v>157</v>
      </c>
      <c r="B98" s="121">
        <f>B95+B97</f>
        <v>13140046.699999999</v>
      </c>
      <c r="C98" s="70"/>
      <c r="D98" s="70"/>
      <c r="E98" s="70"/>
    </row>
    <row r="99" spans="1:5" x14ac:dyDescent="0.25">
      <c r="A99" s="70"/>
      <c r="B99" s="70"/>
      <c r="C99" s="70"/>
      <c r="D99" s="70"/>
      <c r="E99" s="70"/>
    </row>
    <row r="100" spans="1:5" hidden="1" x14ac:dyDescent="0.25">
      <c r="A100" s="149"/>
      <c r="B100" s="149"/>
      <c r="C100" s="149"/>
      <c r="D100" s="70"/>
      <c r="E100" s="70"/>
    </row>
    <row r="101" spans="1:5" ht="35.25" hidden="1" customHeight="1" x14ac:dyDescent="0.25">
      <c r="A101" s="149"/>
      <c r="B101" s="149"/>
      <c r="C101" s="149"/>
      <c r="D101" s="70"/>
      <c r="E101" s="70"/>
    </row>
    <row r="102" spans="1:5" x14ac:dyDescent="0.25">
      <c r="A102" s="70"/>
      <c r="B102" s="70"/>
      <c r="C102" s="70"/>
      <c r="D102" s="70"/>
      <c r="E102" s="70"/>
    </row>
    <row r="103" spans="1:5" x14ac:dyDescent="0.25">
      <c r="A103" s="122" t="s">
        <v>172</v>
      </c>
      <c r="B103" s="123"/>
      <c r="C103" s="124"/>
      <c r="D103" s="70"/>
      <c r="E103" s="70"/>
    </row>
    <row r="104" spans="1:5" x14ac:dyDescent="0.25">
      <c r="A104" s="16" t="s">
        <v>42</v>
      </c>
      <c r="B104" s="123">
        <v>535725.97893585078</v>
      </c>
      <c r="C104" s="125"/>
      <c r="D104" s="70"/>
      <c r="E104" s="70"/>
    </row>
    <row r="105" spans="1:5" ht="13.5" customHeight="1" x14ac:dyDescent="0.25">
      <c r="A105" s="126" t="s">
        <v>44</v>
      </c>
      <c r="B105" s="127">
        <f>PRORRATEO!I44</f>
        <v>6668198.9696480017</v>
      </c>
      <c r="C105" s="124"/>
      <c r="D105" s="111"/>
      <c r="E105" s="70"/>
    </row>
    <row r="106" spans="1:5" ht="13.5" customHeight="1" x14ac:dyDescent="0.25">
      <c r="A106" s="126" t="s">
        <v>204</v>
      </c>
      <c r="B106" s="127">
        <f>B113</f>
        <v>614971.40413385991</v>
      </c>
      <c r="C106" s="124"/>
      <c r="D106" s="111"/>
      <c r="E106" s="70"/>
    </row>
    <row r="107" spans="1:5" ht="18" customHeight="1" x14ac:dyDescent="0.25">
      <c r="A107" s="128" t="s">
        <v>43</v>
      </c>
      <c r="B107" s="141">
        <f>-(B98)</f>
        <v>-13140046.699999999</v>
      </c>
      <c r="C107" s="124"/>
      <c r="D107" s="70"/>
      <c r="E107" s="70"/>
    </row>
    <row r="108" spans="1:5" x14ac:dyDescent="0.25">
      <c r="A108" s="129" t="s">
        <v>16</v>
      </c>
      <c r="B108" s="41">
        <f>SUM(B104:B107)</f>
        <v>-5321150.3472822867</v>
      </c>
      <c r="C108" s="130"/>
      <c r="D108" s="111"/>
      <c r="E108" s="70"/>
    </row>
    <row r="109" spans="1:5" x14ac:dyDescent="0.25">
      <c r="A109" s="70"/>
      <c r="B109" s="131"/>
      <c r="C109" s="130"/>
      <c r="D109" s="70"/>
      <c r="E109" s="70"/>
    </row>
    <row r="110" spans="1:5" x14ac:dyDescent="0.25">
      <c r="A110" s="70"/>
      <c r="B110" s="132"/>
      <c r="C110" s="130"/>
      <c r="D110" s="70"/>
      <c r="E110" s="70"/>
    </row>
    <row r="111" spans="1:5" s="28" customFormat="1" ht="27" customHeight="1" x14ac:dyDescent="0.25">
      <c r="A111" s="70"/>
      <c r="B111" s="131"/>
      <c r="C111" s="133"/>
      <c r="D111" s="134"/>
      <c r="E111" s="134"/>
    </row>
    <row r="112" spans="1:5" s="28" customFormat="1" ht="27" customHeight="1" x14ac:dyDescent="0.25">
      <c r="A112" s="135" t="s">
        <v>45</v>
      </c>
      <c r="B112" s="24"/>
      <c r="C112" s="133"/>
      <c r="D112" s="134"/>
      <c r="E112" s="136"/>
    </row>
    <row r="113" spans="1:13" s="28" customFormat="1" ht="15.75" customHeight="1" x14ac:dyDescent="0.25">
      <c r="A113" s="77" t="s">
        <v>42</v>
      </c>
      <c r="B113" s="24">
        <v>614971.40413385991</v>
      </c>
      <c r="C113" s="133"/>
      <c r="D113" s="136"/>
      <c r="E113" s="136"/>
    </row>
    <row r="114" spans="1:13" ht="14.25" customHeight="1" x14ac:dyDescent="0.25">
      <c r="A114" s="77" t="s">
        <v>35</v>
      </c>
      <c r="B114" s="24">
        <f>PRORRATEO!I45</f>
        <v>0</v>
      </c>
      <c r="C114" s="130"/>
      <c r="D114" s="111"/>
      <c r="E114" s="70"/>
    </row>
    <row r="115" spans="1:13" x14ac:dyDescent="0.25">
      <c r="A115" s="77" t="s">
        <v>203</v>
      </c>
      <c r="B115" s="40">
        <v>-614971.4</v>
      </c>
      <c r="C115" s="130"/>
      <c r="D115" s="70"/>
      <c r="E115" s="70"/>
    </row>
    <row r="116" spans="1:13" x14ac:dyDescent="0.25">
      <c r="A116" s="77"/>
      <c r="B116" s="40"/>
      <c r="C116" s="130"/>
      <c r="D116" s="70"/>
      <c r="E116" s="70"/>
    </row>
    <row r="117" spans="1:13" ht="17.25" hidden="1" customHeight="1" x14ac:dyDescent="0.25">
      <c r="A117" s="140"/>
      <c r="B117" s="139"/>
      <c r="C117" s="137"/>
      <c r="D117" s="70"/>
      <c r="E117" s="70"/>
    </row>
    <row r="118" spans="1:13" ht="17.25" hidden="1" customHeight="1" x14ac:dyDescent="0.25">
      <c r="A118" s="140"/>
      <c r="B118" s="139"/>
      <c r="C118" s="137"/>
      <c r="D118" s="70"/>
      <c r="E118" s="70"/>
    </row>
    <row r="119" spans="1:13" x14ac:dyDescent="0.25">
      <c r="A119" s="135" t="s">
        <v>46</v>
      </c>
      <c r="B119" s="41">
        <f>SUM(B113:B118)</f>
        <v>4.1338598821312189E-3</v>
      </c>
      <c r="C119" s="124"/>
      <c r="D119" s="70"/>
      <c r="E119" s="70"/>
    </row>
    <row r="120" spans="1:13" x14ac:dyDescent="0.25">
      <c r="A120" s="70"/>
      <c r="B120" s="70"/>
      <c r="C120" s="70"/>
      <c r="D120" s="70"/>
      <c r="E120" s="70"/>
    </row>
    <row r="122" spans="1:13" x14ac:dyDescent="0.25">
      <c r="A122" s="146" t="s">
        <v>160</v>
      </c>
      <c r="B122" s="146"/>
      <c r="C122" s="146"/>
    </row>
    <row r="123" spans="1:13" x14ac:dyDescent="0.25">
      <c r="A123" s="146"/>
      <c r="B123" s="146"/>
      <c r="C123" s="146"/>
    </row>
    <row r="124" spans="1:13" x14ac:dyDescent="0.25">
      <c r="A124" s="1"/>
      <c r="B124" s="1"/>
      <c r="C124" s="23"/>
    </row>
    <row r="125" spans="1:13" x14ac:dyDescent="0.25">
      <c r="A125" s="32" t="s">
        <v>16</v>
      </c>
      <c r="B125" s="32"/>
      <c r="C125" s="33">
        <f>SUM(C124:C124)</f>
        <v>0</v>
      </c>
    </row>
    <row r="126" spans="1:13" x14ac:dyDescent="0.25">
      <c r="M126" s="4"/>
    </row>
  </sheetData>
  <mergeCells count="9">
    <mergeCell ref="A122:C123"/>
    <mergeCell ref="A15:E18"/>
    <mergeCell ref="A22:E26"/>
    <mergeCell ref="A87:B87"/>
    <mergeCell ref="A88:B88"/>
    <mergeCell ref="A89:B89"/>
    <mergeCell ref="A90:B90"/>
    <mergeCell ref="A86:B86"/>
    <mergeCell ref="A100:C101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4"/>
  <sheetViews>
    <sheetView topLeftCell="C22" workbookViewId="0">
      <selection activeCell="H43" sqref="H43"/>
    </sheetView>
  </sheetViews>
  <sheetFormatPr baseColWidth="10" defaultRowHeight="15" x14ac:dyDescent="0.25"/>
  <cols>
    <col min="1" max="1" width="4.7109375" hidden="1" customWidth="1"/>
    <col min="2" max="2" width="5.85546875" hidden="1" customWidth="1"/>
    <col min="3" max="3" width="6.5703125" customWidth="1"/>
    <col min="4" max="4" width="15.7109375" customWidth="1"/>
    <col min="5" max="5" width="11.140625" customWidth="1"/>
    <col min="6" max="6" width="6.5703125" customWidth="1"/>
    <col min="7" max="7" width="17.7109375" bestFit="1" customWidth="1"/>
    <col min="8" max="8" width="12.28515625" customWidth="1"/>
    <col min="9" max="9" width="12" hidden="1" customWidth="1"/>
    <col min="10" max="10" width="12.5703125" customWidth="1"/>
    <col min="11" max="11" width="10.5703125" customWidth="1"/>
    <col min="12" max="12" width="13" customWidth="1"/>
    <col min="13" max="13" width="5" hidden="1" customWidth="1"/>
    <col min="14" max="14" width="14.7109375" customWidth="1"/>
    <col min="15" max="15" width="14.5703125" customWidth="1"/>
    <col min="17" max="17" width="13" bestFit="1" customWidth="1"/>
  </cols>
  <sheetData>
    <row r="1" spans="1:18" x14ac:dyDescent="0.25">
      <c r="A1" s="2"/>
      <c r="B1" s="2"/>
      <c r="C1" s="2"/>
      <c r="D1" s="2"/>
      <c r="E1" s="2"/>
      <c r="F1" s="2"/>
      <c r="G1" s="2" t="s">
        <v>6</v>
      </c>
      <c r="H1" s="2"/>
      <c r="I1" s="2"/>
      <c r="J1" s="2"/>
      <c r="K1" s="2"/>
      <c r="L1" s="2"/>
      <c r="M1" s="2"/>
      <c r="N1" s="2"/>
      <c r="O1" s="2"/>
    </row>
    <row r="2" spans="1:18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8">
        <v>2902347.4099999997</v>
      </c>
      <c r="O2" s="38">
        <v>7469692</v>
      </c>
    </row>
    <row r="3" spans="1:18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3" t="s">
        <v>7</v>
      </c>
      <c r="L3" s="2"/>
      <c r="M3" s="2"/>
      <c r="N3" s="169">
        <f>O2</f>
        <v>7469692</v>
      </c>
      <c r="O3" s="169"/>
      <c r="P3" s="5"/>
    </row>
    <row r="4" spans="1:18" ht="15.75" thickBo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 t="s">
        <v>111</v>
      </c>
      <c r="L4" s="2"/>
      <c r="M4" s="2"/>
      <c r="N4" s="168"/>
      <c r="O4" s="168"/>
    </row>
    <row r="5" spans="1:18" x14ac:dyDescent="0.25">
      <c r="A5" s="160" t="s">
        <v>8</v>
      </c>
      <c r="B5" s="162" t="s">
        <v>9</v>
      </c>
      <c r="C5" s="164" t="s">
        <v>10</v>
      </c>
      <c r="D5" s="164" t="s">
        <v>11</v>
      </c>
      <c r="E5" s="164" t="s">
        <v>129</v>
      </c>
      <c r="F5" s="160" t="s">
        <v>37</v>
      </c>
      <c r="G5" s="160" t="s">
        <v>12</v>
      </c>
      <c r="H5" s="160" t="s">
        <v>13</v>
      </c>
      <c r="I5" s="14"/>
      <c r="J5" s="172" t="s">
        <v>143</v>
      </c>
      <c r="K5" s="170" t="s">
        <v>14</v>
      </c>
      <c r="L5" s="170" t="s">
        <v>33</v>
      </c>
      <c r="M5" s="170" t="s">
        <v>15</v>
      </c>
      <c r="N5" s="170" t="s">
        <v>31</v>
      </c>
      <c r="O5" s="170" t="s">
        <v>32</v>
      </c>
    </row>
    <row r="6" spans="1:18" x14ac:dyDescent="0.25">
      <c r="A6" s="161"/>
      <c r="B6" s="163"/>
      <c r="C6" s="165"/>
      <c r="D6" s="165"/>
      <c r="E6" s="166"/>
      <c r="F6" s="161"/>
      <c r="G6" s="161"/>
      <c r="H6" s="161"/>
      <c r="I6" s="15"/>
      <c r="J6" s="173"/>
      <c r="K6" s="171"/>
      <c r="L6" s="174"/>
      <c r="M6" s="174"/>
      <c r="N6" s="174"/>
      <c r="O6" s="171"/>
    </row>
    <row r="7" spans="1:18" x14ac:dyDescent="0.25">
      <c r="A7" s="1" t="s">
        <v>17</v>
      </c>
      <c r="B7" s="1"/>
      <c r="C7" s="34" t="s">
        <v>17</v>
      </c>
      <c r="D7" s="34" t="s">
        <v>84</v>
      </c>
      <c r="E7" s="34"/>
      <c r="F7" s="1">
        <v>2.63</v>
      </c>
      <c r="G7" s="24">
        <v>196453.27475792554</v>
      </c>
      <c r="H7" s="29">
        <f>318956-G39</f>
        <v>196453.05120000002</v>
      </c>
      <c r="I7" s="13" t="s">
        <v>122</v>
      </c>
      <c r="J7" s="7">
        <f>H7-G7</f>
        <v>-0.22355792552116327</v>
      </c>
      <c r="K7" s="39">
        <f>N$4*F7%</f>
        <v>0</v>
      </c>
      <c r="L7" s="6">
        <f>N$3*F7%</f>
        <v>196452.8996</v>
      </c>
      <c r="M7" s="23"/>
      <c r="N7" s="23">
        <f>L7+K7-J7+M7</f>
        <v>196453.12315792553</v>
      </c>
      <c r="O7" s="23">
        <f>N7*6% + N7</f>
        <v>208240.31054740105</v>
      </c>
    </row>
    <row r="8" spans="1:18" x14ac:dyDescent="0.25">
      <c r="A8" s="1" t="s">
        <v>18</v>
      </c>
      <c r="B8" s="1"/>
      <c r="C8" s="34" t="s">
        <v>49</v>
      </c>
      <c r="D8" s="34" t="s">
        <v>85</v>
      </c>
      <c r="E8" s="34" t="s">
        <v>130</v>
      </c>
      <c r="F8" s="1">
        <v>3.33</v>
      </c>
      <c r="G8" s="24">
        <v>466820.63856694929</v>
      </c>
      <c r="H8" s="29">
        <v>248741</v>
      </c>
      <c r="I8" s="13" t="s">
        <v>122</v>
      </c>
      <c r="J8" s="7">
        <f t="shared" ref="J8:J42" si="0">H8-G8</f>
        <v>-218079.63856694929</v>
      </c>
      <c r="K8" s="39">
        <f t="shared" ref="K8:K42" si="1">N$4*F8%</f>
        <v>0</v>
      </c>
      <c r="L8" s="6">
        <f t="shared" ref="L8:L42" si="2">N$3*F8%</f>
        <v>248740.74360000002</v>
      </c>
      <c r="M8" s="23"/>
      <c r="N8" s="23">
        <f>L8+K8-J8+M8</f>
        <v>466820.38216694933</v>
      </c>
      <c r="O8" s="23">
        <f t="shared" ref="O8:O42" si="3">N8*6% + N8</f>
        <v>494829.60509696632</v>
      </c>
      <c r="Q8" s="31"/>
    </row>
    <row r="9" spans="1:18" x14ac:dyDescent="0.25">
      <c r="A9" s="1" t="s">
        <v>18</v>
      </c>
      <c r="B9" s="1"/>
      <c r="C9" s="34" t="s">
        <v>50</v>
      </c>
      <c r="D9" s="34" t="s">
        <v>86</v>
      </c>
      <c r="E9" s="34"/>
      <c r="F9" s="1">
        <v>3.32</v>
      </c>
      <c r="G9" s="24">
        <v>247993.77439999999</v>
      </c>
      <c r="H9" s="29">
        <v>248000</v>
      </c>
      <c r="I9" s="13" t="s">
        <v>122</v>
      </c>
      <c r="J9" s="7">
        <f t="shared" si="0"/>
        <v>6.2256000000052154</v>
      </c>
      <c r="K9" s="39">
        <f t="shared" si="1"/>
        <v>0</v>
      </c>
      <c r="L9" s="6">
        <f t="shared" si="2"/>
        <v>247993.77439999999</v>
      </c>
      <c r="M9" s="23"/>
      <c r="N9" s="23">
        <f t="shared" ref="N9:N42" si="4">L9+K9-J9+M9</f>
        <v>247987.54879999999</v>
      </c>
      <c r="O9" s="23">
        <f t="shared" si="3"/>
        <v>262866.80172799999</v>
      </c>
    </row>
    <row r="10" spans="1:18" x14ac:dyDescent="0.25">
      <c r="A10" s="1" t="s">
        <v>19</v>
      </c>
      <c r="B10" s="1"/>
      <c r="C10" s="34" t="s">
        <v>51</v>
      </c>
      <c r="D10" s="34" t="s">
        <v>119</v>
      </c>
      <c r="E10" s="34"/>
      <c r="F10" s="1">
        <v>3.42</v>
      </c>
      <c r="G10" s="24">
        <v>610125.66173540347</v>
      </c>
      <c r="H10" s="29">
        <f>254000+1500</f>
        <v>255500</v>
      </c>
      <c r="I10" s="13" t="s">
        <v>122</v>
      </c>
      <c r="J10" s="7">
        <f t="shared" si="0"/>
        <v>-354625.66173540347</v>
      </c>
      <c r="K10" s="39">
        <f t="shared" si="1"/>
        <v>0</v>
      </c>
      <c r="L10" s="6">
        <f t="shared" si="2"/>
        <v>255463.4664</v>
      </c>
      <c r="M10" s="23"/>
      <c r="N10" s="23">
        <f t="shared" si="4"/>
        <v>610089.1281354035</v>
      </c>
      <c r="O10" s="23">
        <f t="shared" si="3"/>
        <v>646694.47582352767</v>
      </c>
    </row>
    <row r="11" spans="1:18" x14ac:dyDescent="0.25">
      <c r="A11" s="1" t="s">
        <v>19</v>
      </c>
      <c r="B11" s="1"/>
      <c r="C11" s="34" t="s">
        <v>52</v>
      </c>
      <c r="D11" s="34" t="s">
        <v>87</v>
      </c>
      <c r="E11" s="34"/>
      <c r="F11" s="1">
        <v>3.34</v>
      </c>
      <c r="G11" s="24">
        <v>249487.71279999998</v>
      </c>
      <c r="H11" s="29">
        <f>G11</f>
        <v>249487.71279999998</v>
      </c>
      <c r="I11" s="13" t="s">
        <v>122</v>
      </c>
      <c r="J11" s="7">
        <f t="shared" si="0"/>
        <v>0</v>
      </c>
      <c r="K11" s="39">
        <f t="shared" si="1"/>
        <v>0</v>
      </c>
      <c r="L11" s="6">
        <f t="shared" si="2"/>
        <v>249487.71279999998</v>
      </c>
      <c r="M11" s="23"/>
      <c r="N11" s="23">
        <f t="shared" si="4"/>
        <v>249487.71279999998</v>
      </c>
      <c r="O11" s="23">
        <f t="shared" si="3"/>
        <v>264456.97556799999</v>
      </c>
    </row>
    <row r="12" spans="1:18" x14ac:dyDescent="0.25">
      <c r="A12" s="1" t="s">
        <v>20</v>
      </c>
      <c r="B12" s="1"/>
      <c r="C12" s="34" t="s">
        <v>53</v>
      </c>
      <c r="D12" s="34" t="s">
        <v>140</v>
      </c>
      <c r="E12" s="34"/>
      <c r="F12" s="1">
        <v>3.33</v>
      </c>
      <c r="G12" s="24">
        <v>248740.74360000002</v>
      </c>
      <c r="H12" s="29">
        <f>G12</f>
        <v>248740.74360000002</v>
      </c>
      <c r="I12" s="13" t="s">
        <v>122</v>
      </c>
      <c r="J12" s="7">
        <f t="shared" si="0"/>
        <v>0</v>
      </c>
      <c r="K12" s="39">
        <f t="shared" si="1"/>
        <v>0</v>
      </c>
      <c r="L12" s="6">
        <f t="shared" si="2"/>
        <v>248740.74360000002</v>
      </c>
      <c r="M12" s="23"/>
      <c r="N12" s="23">
        <f t="shared" si="4"/>
        <v>248740.74360000002</v>
      </c>
      <c r="O12" s="23">
        <f t="shared" si="3"/>
        <v>263665.18821600004</v>
      </c>
    </row>
    <row r="13" spans="1:18" x14ac:dyDescent="0.25">
      <c r="A13" s="1" t="s">
        <v>20</v>
      </c>
      <c r="B13" s="1"/>
      <c r="C13" s="34" t="s">
        <v>54</v>
      </c>
      <c r="D13" s="34" t="s">
        <v>88</v>
      </c>
      <c r="E13" s="34"/>
      <c r="F13" s="1">
        <v>3.32</v>
      </c>
      <c r="G13" s="24">
        <v>247993.77439999999</v>
      </c>
      <c r="H13" s="29">
        <f>G13</f>
        <v>247993.77439999999</v>
      </c>
      <c r="I13" s="13" t="s">
        <v>122</v>
      </c>
      <c r="J13" s="7">
        <f t="shared" si="0"/>
        <v>0</v>
      </c>
      <c r="K13" s="39">
        <f t="shared" si="1"/>
        <v>0</v>
      </c>
      <c r="L13" s="6">
        <f t="shared" si="2"/>
        <v>247993.77439999999</v>
      </c>
      <c r="M13" s="23"/>
      <c r="N13" s="23">
        <f t="shared" si="4"/>
        <v>247993.77439999999</v>
      </c>
      <c r="O13" s="23">
        <f t="shared" si="3"/>
        <v>262873.40086399997</v>
      </c>
    </row>
    <row r="14" spans="1:18" x14ac:dyDescent="0.25">
      <c r="A14" s="1" t="s">
        <v>21</v>
      </c>
      <c r="B14" s="1"/>
      <c r="C14" s="34" t="s">
        <v>55</v>
      </c>
      <c r="D14" s="34" t="s">
        <v>89</v>
      </c>
      <c r="E14" s="34"/>
      <c r="F14" s="1">
        <v>3.33</v>
      </c>
      <c r="G14" s="24">
        <v>248740.74360000002</v>
      </c>
      <c r="H14" s="29">
        <f>G14</f>
        <v>248740.74360000002</v>
      </c>
      <c r="I14" s="13" t="s">
        <v>122</v>
      </c>
      <c r="J14" s="7">
        <f t="shared" si="0"/>
        <v>0</v>
      </c>
      <c r="K14" s="39">
        <f t="shared" si="1"/>
        <v>0</v>
      </c>
      <c r="L14" s="6">
        <f t="shared" si="2"/>
        <v>248740.74360000002</v>
      </c>
      <c r="M14" s="23"/>
      <c r="N14" s="23">
        <f t="shared" si="4"/>
        <v>248740.74360000002</v>
      </c>
      <c r="O14" s="23">
        <f t="shared" si="3"/>
        <v>263665.18821600004</v>
      </c>
    </row>
    <row r="15" spans="1:18" x14ac:dyDescent="0.25">
      <c r="A15" s="1" t="s">
        <v>21</v>
      </c>
      <c r="B15" s="1"/>
      <c r="C15" s="34" t="s">
        <v>56</v>
      </c>
      <c r="D15" s="34" t="s">
        <v>90</v>
      </c>
      <c r="E15" s="34" t="s">
        <v>144</v>
      </c>
      <c r="F15" s="1">
        <v>3.24</v>
      </c>
      <c r="G15" s="24">
        <v>339447.8129300049</v>
      </c>
      <c r="H15" s="29">
        <v>242000</v>
      </c>
      <c r="I15" s="13" t="s">
        <v>122</v>
      </c>
      <c r="J15" s="7">
        <f t="shared" si="0"/>
        <v>-97447.812930004904</v>
      </c>
      <c r="K15" s="39">
        <f t="shared" si="1"/>
        <v>0</v>
      </c>
      <c r="L15" s="6">
        <f t="shared" si="2"/>
        <v>242018.02080000003</v>
      </c>
      <c r="M15" s="23"/>
      <c r="N15" s="23">
        <f t="shared" si="4"/>
        <v>339465.83373000496</v>
      </c>
      <c r="O15" s="23">
        <f t="shared" si="3"/>
        <v>359833.78375380527</v>
      </c>
      <c r="R15" t="s">
        <v>180</v>
      </c>
    </row>
    <row r="16" spans="1:18" x14ac:dyDescent="0.25">
      <c r="A16" s="1" t="s">
        <v>22</v>
      </c>
      <c r="B16" s="1"/>
      <c r="C16" s="34" t="s">
        <v>57</v>
      </c>
      <c r="D16" s="34" t="s">
        <v>91</v>
      </c>
      <c r="E16" s="34" t="s">
        <v>134</v>
      </c>
      <c r="F16" s="1">
        <v>3.33</v>
      </c>
      <c r="G16" s="24">
        <v>665563.98325319996</v>
      </c>
      <c r="H16" s="29"/>
      <c r="I16" s="13" t="s">
        <v>122</v>
      </c>
      <c r="J16" s="7">
        <f t="shared" si="0"/>
        <v>-665563.98325319996</v>
      </c>
      <c r="K16" s="39">
        <f t="shared" si="1"/>
        <v>0</v>
      </c>
      <c r="L16" s="6">
        <f t="shared" si="2"/>
        <v>248740.74360000002</v>
      </c>
      <c r="M16" s="23"/>
      <c r="N16" s="23">
        <f>L16+K16-J16+M16</f>
        <v>914304.7268532</v>
      </c>
      <c r="O16" s="23">
        <f t="shared" si="3"/>
        <v>969163.01046439202</v>
      </c>
    </row>
    <row r="17" spans="1:18" x14ac:dyDescent="0.25">
      <c r="A17" s="1" t="s">
        <v>22</v>
      </c>
      <c r="B17" s="1"/>
      <c r="C17" s="34" t="s">
        <v>58</v>
      </c>
      <c r="D17" s="34" t="s">
        <v>92</v>
      </c>
      <c r="E17" s="34"/>
      <c r="F17" s="1">
        <v>3.32</v>
      </c>
      <c r="G17" s="24">
        <v>257162.35445272</v>
      </c>
      <c r="H17" s="29">
        <v>257162.35</v>
      </c>
      <c r="I17" s="13" t="s">
        <v>122</v>
      </c>
      <c r="J17" s="7">
        <f t="shared" si="0"/>
        <v>-4.4527199934236705E-3</v>
      </c>
      <c r="K17" s="39">
        <f t="shared" si="1"/>
        <v>0</v>
      </c>
      <c r="L17" s="6">
        <f t="shared" si="2"/>
        <v>247993.77439999999</v>
      </c>
      <c r="M17" s="23"/>
      <c r="N17" s="23">
        <f t="shared" si="4"/>
        <v>247993.77885271999</v>
      </c>
      <c r="O17" s="23">
        <f t="shared" si="3"/>
        <v>262873.40558388317</v>
      </c>
    </row>
    <row r="18" spans="1:18" x14ac:dyDescent="0.25">
      <c r="A18" s="1" t="s">
        <v>23</v>
      </c>
      <c r="B18" s="1"/>
      <c r="C18" s="34" t="s">
        <v>59</v>
      </c>
      <c r="D18" s="34" t="s">
        <v>93</v>
      </c>
      <c r="E18" s="34"/>
      <c r="F18" s="1">
        <v>3.33</v>
      </c>
      <c r="G18" s="24">
        <v>247740.74717040002</v>
      </c>
      <c r="H18" s="29">
        <v>22605.19</v>
      </c>
      <c r="I18" s="13" t="s">
        <v>122</v>
      </c>
      <c r="J18" s="7">
        <f t="shared" si="0"/>
        <v>-225135.55717040002</v>
      </c>
      <c r="K18" s="39">
        <f t="shared" si="1"/>
        <v>0</v>
      </c>
      <c r="L18" s="6">
        <f t="shared" si="2"/>
        <v>248740.74360000002</v>
      </c>
      <c r="M18" s="23"/>
      <c r="N18" s="23">
        <f t="shared" si="4"/>
        <v>473876.30077040003</v>
      </c>
      <c r="O18" s="23">
        <f t="shared" si="3"/>
        <v>502308.87881662406</v>
      </c>
    </row>
    <row r="19" spans="1:18" x14ac:dyDescent="0.25">
      <c r="A19" s="1" t="s">
        <v>23</v>
      </c>
      <c r="B19" s="1"/>
      <c r="C19" s="34" t="s">
        <v>60</v>
      </c>
      <c r="D19" s="34" t="s">
        <v>94</v>
      </c>
      <c r="E19" s="34"/>
      <c r="F19" s="1">
        <v>3.24</v>
      </c>
      <c r="G19" s="24">
        <v>242011.42795877243</v>
      </c>
      <c r="H19" s="29">
        <f>365000-H32</f>
        <v>242497.05120000002</v>
      </c>
      <c r="I19" s="13" t="s">
        <v>122</v>
      </c>
      <c r="J19" s="7">
        <f t="shared" si="0"/>
        <v>485.62324122758582</v>
      </c>
      <c r="K19" s="39">
        <f t="shared" si="1"/>
        <v>0</v>
      </c>
      <c r="L19" s="6">
        <f t="shared" si="2"/>
        <v>242018.02080000003</v>
      </c>
      <c r="M19" s="23"/>
      <c r="N19" s="23">
        <f t="shared" si="4"/>
        <v>241532.39755877244</v>
      </c>
      <c r="O19" s="23">
        <f t="shared" si="3"/>
        <v>256024.34141229879</v>
      </c>
    </row>
    <row r="20" spans="1:18" x14ac:dyDescent="0.25">
      <c r="A20" s="1" t="s">
        <v>24</v>
      </c>
      <c r="B20" s="1"/>
      <c r="C20" s="34" t="s">
        <v>61</v>
      </c>
      <c r="D20" s="34" t="s">
        <v>95</v>
      </c>
      <c r="E20" s="34" t="s">
        <v>136</v>
      </c>
      <c r="F20" s="1">
        <v>3.33</v>
      </c>
      <c r="G20" s="24">
        <v>248740.74360000002</v>
      </c>
      <c r="H20" s="29">
        <v>249000</v>
      </c>
      <c r="I20" s="13" t="s">
        <v>122</v>
      </c>
      <c r="J20" s="7">
        <f t="shared" si="0"/>
        <v>259.25639999998384</v>
      </c>
      <c r="K20" s="39">
        <f t="shared" si="1"/>
        <v>0</v>
      </c>
      <c r="L20" s="6">
        <f t="shared" si="2"/>
        <v>248740.74360000002</v>
      </c>
      <c r="M20" s="23"/>
      <c r="N20" s="23">
        <f t="shared" si="4"/>
        <v>248481.48720000003</v>
      </c>
      <c r="O20" s="23">
        <f t="shared" si="3"/>
        <v>263390.37643200002</v>
      </c>
    </row>
    <row r="21" spans="1:18" x14ac:dyDescent="0.25">
      <c r="A21" s="1" t="s">
        <v>24</v>
      </c>
      <c r="B21" s="1"/>
      <c r="C21" s="34" t="s">
        <v>62</v>
      </c>
      <c r="D21" s="34" t="s">
        <v>96</v>
      </c>
      <c r="E21" s="34"/>
      <c r="F21" s="1">
        <v>3.32</v>
      </c>
      <c r="G21" s="24">
        <v>724565.71298125596</v>
      </c>
      <c r="H21" s="29"/>
      <c r="I21" s="13" t="s">
        <v>148</v>
      </c>
      <c r="J21" s="7">
        <f>H21-G21</f>
        <v>-724565.71298125596</v>
      </c>
      <c r="K21" s="39">
        <f t="shared" si="1"/>
        <v>0</v>
      </c>
      <c r="L21" s="6">
        <f t="shared" si="2"/>
        <v>247993.77439999999</v>
      </c>
      <c r="M21" s="23"/>
      <c r="N21" s="23">
        <f t="shared" si="4"/>
        <v>972559.48738125595</v>
      </c>
      <c r="O21" s="23">
        <f t="shared" si="3"/>
        <v>1030913.0566241313</v>
      </c>
    </row>
    <row r="22" spans="1:18" x14ac:dyDescent="0.25">
      <c r="A22" s="1" t="s">
        <v>25</v>
      </c>
      <c r="B22" s="1"/>
      <c r="C22" s="34" t="s">
        <v>63</v>
      </c>
      <c r="D22" s="34" t="s">
        <v>97</v>
      </c>
      <c r="E22" s="34"/>
      <c r="F22" s="1">
        <v>3.33</v>
      </c>
      <c r="G22" s="13">
        <v>2265885.968566949</v>
      </c>
      <c r="H22" s="29"/>
      <c r="I22" s="13" t="s">
        <v>148</v>
      </c>
      <c r="J22" s="42">
        <f t="shared" si="0"/>
        <v>-2265885.968566949</v>
      </c>
      <c r="K22" s="39">
        <f t="shared" si="1"/>
        <v>0</v>
      </c>
      <c r="L22" s="6">
        <f t="shared" si="2"/>
        <v>248740.74360000002</v>
      </c>
      <c r="M22" s="23"/>
      <c r="N22" s="23">
        <f t="shared" si="4"/>
        <v>2514626.7121669492</v>
      </c>
      <c r="O22" s="23">
        <f t="shared" si="3"/>
        <v>2665504.3148969663</v>
      </c>
      <c r="R22" s="30"/>
    </row>
    <row r="23" spans="1:18" x14ac:dyDescent="0.25">
      <c r="A23" s="1" t="s">
        <v>25</v>
      </c>
      <c r="B23" s="1"/>
      <c r="C23" s="34" t="s">
        <v>64</v>
      </c>
      <c r="D23" s="34" t="s">
        <v>98</v>
      </c>
      <c r="E23" s="34" t="s">
        <v>179</v>
      </c>
      <c r="F23" s="1">
        <v>3.24</v>
      </c>
      <c r="G23" s="24">
        <v>256539.10204800003</v>
      </c>
      <c r="H23" s="29">
        <f>G23</f>
        <v>256539.10204800003</v>
      </c>
      <c r="I23" s="13" t="s">
        <v>148</v>
      </c>
      <c r="J23" s="7">
        <f t="shared" si="0"/>
        <v>0</v>
      </c>
      <c r="K23" s="39">
        <f t="shared" si="1"/>
        <v>0</v>
      </c>
      <c r="L23" s="6">
        <f t="shared" si="2"/>
        <v>242018.02080000003</v>
      </c>
      <c r="M23" s="23"/>
      <c r="N23" s="23">
        <f t="shared" si="4"/>
        <v>242018.02080000003</v>
      </c>
      <c r="O23" s="23">
        <f t="shared" si="3"/>
        <v>256539.10204800003</v>
      </c>
    </row>
    <row r="24" spans="1:18" x14ac:dyDescent="0.25">
      <c r="A24" s="1" t="s">
        <v>26</v>
      </c>
      <c r="B24" s="1"/>
      <c r="C24" s="34" t="s">
        <v>65</v>
      </c>
      <c r="D24" s="34" t="s">
        <v>99</v>
      </c>
      <c r="E24" s="34"/>
      <c r="F24" s="1">
        <v>3.24</v>
      </c>
      <c r="G24" s="24">
        <v>256539.1</v>
      </c>
      <c r="H24" s="29">
        <v>257000</v>
      </c>
      <c r="I24" s="13" t="s">
        <v>148</v>
      </c>
      <c r="J24" s="7">
        <f t="shared" si="0"/>
        <v>460.89999999999418</v>
      </c>
      <c r="K24" s="39">
        <f t="shared" si="1"/>
        <v>0</v>
      </c>
      <c r="L24" s="6">
        <f t="shared" si="2"/>
        <v>242018.02080000003</v>
      </c>
      <c r="M24" s="23"/>
      <c r="N24" s="23">
        <f t="shared" si="4"/>
        <v>241557.12080000003</v>
      </c>
      <c r="O24" s="23">
        <f t="shared" si="3"/>
        <v>256050.54804800003</v>
      </c>
    </row>
    <row r="25" spans="1:18" x14ac:dyDescent="0.25">
      <c r="A25" s="1" t="s">
        <v>26</v>
      </c>
      <c r="B25" s="1"/>
      <c r="C25" s="34" t="s">
        <v>66</v>
      </c>
      <c r="D25" s="34" t="s">
        <v>100</v>
      </c>
      <c r="E25" s="34" t="s">
        <v>135</v>
      </c>
      <c r="F25" s="1">
        <v>3.32</v>
      </c>
      <c r="G25" s="24">
        <v>247992.80594799988</v>
      </c>
      <c r="H25" s="29">
        <f>370500-H33</f>
        <v>247997.05120000002</v>
      </c>
      <c r="I25" s="13" t="s">
        <v>148</v>
      </c>
      <c r="J25" s="7">
        <f t="shared" si="0"/>
        <v>4.2452520001388621</v>
      </c>
      <c r="K25" s="39">
        <f t="shared" si="1"/>
        <v>0</v>
      </c>
      <c r="L25" s="6">
        <f t="shared" si="2"/>
        <v>247993.77439999999</v>
      </c>
      <c r="M25" s="23"/>
      <c r="N25" s="23">
        <f t="shared" si="4"/>
        <v>247989.52914799986</v>
      </c>
      <c r="O25" s="23">
        <f t="shared" si="3"/>
        <v>262868.90089687984</v>
      </c>
    </row>
    <row r="26" spans="1:18" x14ac:dyDescent="0.25">
      <c r="A26" s="1" t="s">
        <v>27</v>
      </c>
      <c r="B26" s="1"/>
      <c r="C26" s="34" t="s">
        <v>67</v>
      </c>
      <c r="D26" s="34" t="s">
        <v>101</v>
      </c>
      <c r="E26" s="34" t="s">
        <v>131</v>
      </c>
      <c r="F26" s="1">
        <v>3.33</v>
      </c>
      <c r="G26" s="17">
        <v>248740.74360000002</v>
      </c>
      <c r="H26" s="29">
        <v>248740</v>
      </c>
      <c r="I26" s="13" t="s">
        <v>148</v>
      </c>
      <c r="J26" s="7">
        <f t="shared" si="0"/>
        <v>-0.74360000001615845</v>
      </c>
      <c r="K26" s="39">
        <f t="shared" si="1"/>
        <v>0</v>
      </c>
      <c r="L26" s="6">
        <f t="shared" si="2"/>
        <v>248740.74360000002</v>
      </c>
      <c r="M26" s="23"/>
      <c r="N26" s="23">
        <f t="shared" si="4"/>
        <v>248741.48720000003</v>
      </c>
      <c r="O26" s="23">
        <f t="shared" si="3"/>
        <v>263665.97643200005</v>
      </c>
    </row>
    <row r="27" spans="1:18" x14ac:dyDescent="0.25">
      <c r="A27" s="1" t="s">
        <v>28</v>
      </c>
      <c r="B27" s="1"/>
      <c r="C27" s="34" t="s">
        <v>68</v>
      </c>
      <c r="D27" s="34" t="s">
        <v>102</v>
      </c>
      <c r="E27" s="34" t="s">
        <v>132</v>
      </c>
      <c r="F27" s="1">
        <v>3.24</v>
      </c>
      <c r="G27" s="24">
        <v>242018.02080000003</v>
      </c>
      <c r="H27" s="29">
        <f>G27</f>
        <v>242018.02080000003</v>
      </c>
      <c r="I27" s="13" t="s">
        <v>148</v>
      </c>
      <c r="J27" s="7">
        <f t="shared" si="0"/>
        <v>0</v>
      </c>
      <c r="K27" s="39">
        <f t="shared" si="1"/>
        <v>0</v>
      </c>
      <c r="L27" s="6">
        <f t="shared" si="2"/>
        <v>242018.02080000003</v>
      </c>
      <c r="M27" s="23"/>
      <c r="N27" s="23">
        <f t="shared" si="4"/>
        <v>242018.02080000003</v>
      </c>
      <c r="O27" s="23">
        <f t="shared" si="3"/>
        <v>256539.10204800003</v>
      </c>
    </row>
    <row r="28" spans="1:18" x14ac:dyDescent="0.25">
      <c r="A28" s="1" t="s">
        <v>29</v>
      </c>
      <c r="B28" s="1"/>
      <c r="C28" s="34" t="s">
        <v>69</v>
      </c>
      <c r="D28" s="34" t="s">
        <v>103</v>
      </c>
      <c r="E28" s="34"/>
      <c r="F28" s="1">
        <v>3.33</v>
      </c>
      <c r="G28" s="24">
        <v>248741.90740100003</v>
      </c>
      <c r="H28" s="29">
        <f>493747-H37-H36</f>
        <v>248741.1024</v>
      </c>
      <c r="I28" s="13" t="s">
        <v>148</v>
      </c>
      <c r="J28" s="7">
        <f t="shared" si="0"/>
        <v>-0.8050010000297334</v>
      </c>
      <c r="K28" s="39">
        <f t="shared" si="1"/>
        <v>0</v>
      </c>
      <c r="L28" s="6">
        <f t="shared" si="2"/>
        <v>248740.74360000002</v>
      </c>
      <c r="M28" s="23"/>
      <c r="N28" s="23">
        <f t="shared" si="4"/>
        <v>248741.54860100005</v>
      </c>
      <c r="O28" s="23">
        <f t="shared" si="3"/>
        <v>263666.04151706008</v>
      </c>
    </row>
    <row r="29" spans="1:18" x14ac:dyDescent="0.25">
      <c r="A29" s="1" t="s">
        <v>30</v>
      </c>
      <c r="B29" s="1"/>
      <c r="C29" s="34" t="s">
        <v>70</v>
      </c>
      <c r="D29" s="34" t="s">
        <v>104</v>
      </c>
      <c r="E29" s="34" t="s">
        <v>184</v>
      </c>
      <c r="F29" s="1">
        <v>3.32</v>
      </c>
      <c r="G29" s="17">
        <v>532178.50051239994</v>
      </c>
      <c r="H29" s="29">
        <f>400791.71+131386.79</f>
        <v>532178.5</v>
      </c>
      <c r="I29" s="13" t="s">
        <v>148</v>
      </c>
      <c r="J29" s="7">
        <f t="shared" si="0"/>
        <v>-5.123999435454607E-4</v>
      </c>
      <c r="K29" s="39">
        <f t="shared" si="1"/>
        <v>0</v>
      </c>
      <c r="L29" s="6">
        <f t="shared" si="2"/>
        <v>247993.77439999999</v>
      </c>
      <c r="M29" s="23"/>
      <c r="N29" s="23">
        <f t="shared" si="4"/>
        <v>247993.77491239994</v>
      </c>
      <c r="O29" s="23">
        <f t="shared" si="3"/>
        <v>262873.40140714392</v>
      </c>
      <c r="Q29" s="144" t="s">
        <v>185</v>
      </c>
    </row>
    <row r="30" spans="1:18" x14ac:dyDescent="0.25">
      <c r="A30" s="1" t="s">
        <v>36</v>
      </c>
      <c r="B30" s="1"/>
      <c r="C30" s="34" t="s">
        <v>71</v>
      </c>
      <c r="D30" s="34" t="s">
        <v>105</v>
      </c>
      <c r="E30" s="34" t="s">
        <v>133</v>
      </c>
      <c r="F30" s="1">
        <v>3.33</v>
      </c>
      <c r="G30" s="24">
        <v>248740.74360000002</v>
      </c>
      <c r="H30" s="29">
        <f>G30</f>
        <v>248740.74360000002</v>
      </c>
      <c r="I30" s="13" t="s">
        <v>148</v>
      </c>
      <c r="J30" s="7">
        <f t="shared" si="0"/>
        <v>0</v>
      </c>
      <c r="K30" s="39">
        <f t="shared" si="1"/>
        <v>0</v>
      </c>
      <c r="L30" s="6">
        <f t="shared" si="2"/>
        <v>248740.74360000002</v>
      </c>
      <c r="M30" s="23"/>
      <c r="N30" s="23">
        <f t="shared" si="4"/>
        <v>248740.74360000002</v>
      </c>
      <c r="O30" s="23">
        <f t="shared" si="3"/>
        <v>263665.18821600004</v>
      </c>
      <c r="Q30" s="144" t="s">
        <v>186</v>
      </c>
    </row>
    <row r="31" spans="1:18" x14ac:dyDescent="0.25">
      <c r="A31" s="1" t="s">
        <v>36</v>
      </c>
      <c r="B31" s="1"/>
      <c r="C31" s="34" t="s">
        <v>72</v>
      </c>
      <c r="D31" s="143" t="s">
        <v>202</v>
      </c>
      <c r="E31" s="34" t="s">
        <v>201</v>
      </c>
      <c r="F31" s="1">
        <v>3.24</v>
      </c>
      <c r="G31" s="24">
        <v>876297.03294809326</v>
      </c>
      <c r="H31" s="29">
        <v>242018</v>
      </c>
      <c r="I31" s="13" t="s">
        <v>148</v>
      </c>
      <c r="J31" s="7">
        <f t="shared" si="0"/>
        <v>-634279.03294809326</v>
      </c>
      <c r="K31" s="39">
        <f t="shared" si="1"/>
        <v>0</v>
      </c>
      <c r="L31" s="6">
        <f t="shared" si="2"/>
        <v>242018.02080000003</v>
      </c>
      <c r="M31" s="23"/>
      <c r="N31" s="23">
        <f>L31+K31-J31+M31</f>
        <v>876297.05374809331</v>
      </c>
      <c r="O31" s="23">
        <f t="shared" si="3"/>
        <v>928874.87697297893</v>
      </c>
    </row>
    <row r="32" spans="1:18" x14ac:dyDescent="0.25">
      <c r="A32" s="1" t="s">
        <v>36</v>
      </c>
      <c r="B32" s="1"/>
      <c r="C32" s="34" t="s">
        <v>73</v>
      </c>
      <c r="D32" s="34" t="s">
        <v>94</v>
      </c>
      <c r="E32" s="34"/>
      <c r="F32" s="1">
        <v>1.64</v>
      </c>
      <c r="G32" s="24">
        <v>122502.94879999998</v>
      </c>
      <c r="H32" s="29">
        <f>G32</f>
        <v>122502.94879999998</v>
      </c>
      <c r="I32" s="13" t="s">
        <v>148</v>
      </c>
      <c r="J32" s="7">
        <f t="shared" si="0"/>
        <v>0</v>
      </c>
      <c r="K32" s="39">
        <f t="shared" si="1"/>
        <v>0</v>
      </c>
      <c r="L32" s="6">
        <f t="shared" si="2"/>
        <v>122502.94879999998</v>
      </c>
      <c r="M32" s="23"/>
      <c r="N32" s="23">
        <f t="shared" si="4"/>
        <v>122502.94879999998</v>
      </c>
      <c r="O32" s="23">
        <f t="shared" si="3"/>
        <v>129853.12572799998</v>
      </c>
    </row>
    <row r="33" spans="1:17" x14ac:dyDescent="0.25">
      <c r="A33" s="1" t="s">
        <v>36</v>
      </c>
      <c r="B33" s="1"/>
      <c r="C33" s="34" t="s">
        <v>74</v>
      </c>
      <c r="D33" s="34" t="s">
        <v>100</v>
      </c>
      <c r="E33" s="34"/>
      <c r="F33" s="1">
        <v>1.64</v>
      </c>
      <c r="G33" s="24">
        <v>122502.94879999998</v>
      </c>
      <c r="H33" s="29">
        <f>G33</f>
        <v>122502.94879999998</v>
      </c>
      <c r="I33" s="13" t="s">
        <v>148</v>
      </c>
      <c r="J33" s="7">
        <f t="shared" si="0"/>
        <v>0</v>
      </c>
      <c r="K33" s="39">
        <f t="shared" si="1"/>
        <v>0</v>
      </c>
      <c r="L33" s="6">
        <f t="shared" si="2"/>
        <v>122502.94879999998</v>
      </c>
      <c r="M33" s="23"/>
      <c r="N33" s="23">
        <f t="shared" si="4"/>
        <v>122502.94879999998</v>
      </c>
      <c r="O33" s="23">
        <f t="shared" si="3"/>
        <v>129853.12572799998</v>
      </c>
    </row>
    <row r="34" spans="1:17" x14ac:dyDescent="0.25">
      <c r="A34" s="1" t="s">
        <v>36</v>
      </c>
      <c r="B34" s="1"/>
      <c r="C34" s="34" t="s">
        <v>75</v>
      </c>
      <c r="D34" s="34" t="s">
        <v>85</v>
      </c>
      <c r="E34" s="34"/>
      <c r="F34" s="1">
        <v>1.64</v>
      </c>
      <c r="G34" s="24">
        <v>132166.78563736723</v>
      </c>
      <c r="H34" s="29">
        <v>65000</v>
      </c>
      <c r="I34" s="13" t="s">
        <v>148</v>
      </c>
      <c r="J34" s="7">
        <f t="shared" si="0"/>
        <v>-67166.785637367226</v>
      </c>
      <c r="K34" s="39">
        <f t="shared" si="1"/>
        <v>0</v>
      </c>
      <c r="L34" s="6">
        <f t="shared" si="2"/>
        <v>122502.94879999998</v>
      </c>
      <c r="M34" s="23"/>
      <c r="N34" s="23">
        <f t="shared" si="4"/>
        <v>189669.73443736721</v>
      </c>
      <c r="O34" s="23">
        <f t="shared" si="3"/>
        <v>201049.91850360925</v>
      </c>
    </row>
    <row r="35" spans="1:17" x14ac:dyDescent="0.25">
      <c r="A35" s="1" t="s">
        <v>36</v>
      </c>
      <c r="B35" s="1"/>
      <c r="C35" s="34" t="s">
        <v>76</v>
      </c>
      <c r="D35" s="34" t="s">
        <v>106</v>
      </c>
      <c r="E35" s="34"/>
      <c r="F35" s="1">
        <v>1.64</v>
      </c>
      <c r="G35" s="24">
        <v>262883.3556748</v>
      </c>
      <c r="H35" s="29"/>
      <c r="I35" s="13" t="s">
        <v>148</v>
      </c>
      <c r="J35" s="7">
        <f t="shared" si="0"/>
        <v>-262883.3556748</v>
      </c>
      <c r="K35" s="39">
        <f t="shared" si="1"/>
        <v>0</v>
      </c>
      <c r="L35" s="6">
        <f t="shared" si="2"/>
        <v>122502.94879999998</v>
      </c>
      <c r="M35" s="23"/>
      <c r="N35" s="23">
        <f t="shared" si="4"/>
        <v>385386.30447480001</v>
      </c>
      <c r="O35" s="23">
        <f t="shared" si="3"/>
        <v>408509.48274328798</v>
      </c>
      <c r="Q35" t="s">
        <v>181</v>
      </c>
    </row>
    <row r="36" spans="1:17" x14ac:dyDescent="0.25">
      <c r="A36" s="1" t="s">
        <v>36</v>
      </c>
      <c r="B36" s="1"/>
      <c r="C36" s="34" t="s">
        <v>77</v>
      </c>
      <c r="D36" s="34" t="s">
        <v>107</v>
      </c>
      <c r="E36" s="34"/>
      <c r="F36" s="1">
        <v>1.64</v>
      </c>
      <c r="G36" s="24">
        <v>122502.94879999998</v>
      </c>
      <c r="H36" s="29">
        <f>G36</f>
        <v>122502.94879999998</v>
      </c>
      <c r="I36" s="13" t="s">
        <v>148</v>
      </c>
      <c r="J36" s="7">
        <f t="shared" si="0"/>
        <v>0</v>
      </c>
      <c r="K36" s="39">
        <f t="shared" si="1"/>
        <v>0</v>
      </c>
      <c r="L36" s="6">
        <f t="shared" si="2"/>
        <v>122502.94879999998</v>
      </c>
      <c r="M36" s="23"/>
      <c r="N36" s="23">
        <f t="shared" si="4"/>
        <v>122502.94879999998</v>
      </c>
      <c r="O36" s="23">
        <f t="shared" si="3"/>
        <v>129853.12572799998</v>
      </c>
    </row>
    <row r="37" spans="1:17" x14ac:dyDescent="0.25">
      <c r="A37" s="1" t="s">
        <v>36</v>
      </c>
      <c r="B37" s="1"/>
      <c r="C37" s="34" t="s">
        <v>78</v>
      </c>
      <c r="D37" s="34" t="s">
        <v>103</v>
      </c>
      <c r="E37" s="34"/>
      <c r="F37" s="1">
        <v>1.64</v>
      </c>
      <c r="G37" s="24">
        <v>122502.94879999998</v>
      </c>
      <c r="H37" s="29">
        <f>G37</f>
        <v>122502.94879999998</v>
      </c>
      <c r="I37" s="13" t="s">
        <v>148</v>
      </c>
      <c r="J37" s="7">
        <f t="shared" si="0"/>
        <v>0</v>
      </c>
      <c r="K37" s="39">
        <f t="shared" si="1"/>
        <v>0</v>
      </c>
      <c r="L37" s="6">
        <f t="shared" si="2"/>
        <v>122502.94879999998</v>
      </c>
      <c r="M37" s="23"/>
      <c r="N37" s="23">
        <f t="shared" si="4"/>
        <v>122502.94879999998</v>
      </c>
      <c r="O37" s="23">
        <f t="shared" si="3"/>
        <v>129853.12572799998</v>
      </c>
    </row>
    <row r="38" spans="1:17" x14ac:dyDescent="0.25">
      <c r="A38" s="1" t="s">
        <v>36</v>
      </c>
      <c r="B38" s="1"/>
      <c r="C38" s="34" t="s">
        <v>79</v>
      </c>
      <c r="D38" s="34" t="s">
        <v>97</v>
      </c>
      <c r="E38" s="34"/>
      <c r="F38" s="1">
        <v>1.64</v>
      </c>
      <c r="G38" s="190">
        <v>1115931.8338287675</v>
      </c>
      <c r="H38" s="29"/>
      <c r="I38" s="13" t="s">
        <v>148</v>
      </c>
      <c r="J38" s="7">
        <f t="shared" si="0"/>
        <v>-1115931.8338287675</v>
      </c>
      <c r="K38" s="39">
        <f t="shared" si="1"/>
        <v>0</v>
      </c>
      <c r="L38" s="6">
        <f t="shared" si="2"/>
        <v>122502.94879999998</v>
      </c>
      <c r="M38" s="23"/>
      <c r="N38" s="23">
        <f t="shared" si="4"/>
        <v>1238434.7826287674</v>
      </c>
      <c r="O38" s="23">
        <f t="shared" si="3"/>
        <v>1312740.8695864934</v>
      </c>
    </row>
    <row r="39" spans="1:17" x14ac:dyDescent="0.25">
      <c r="A39" s="1" t="s">
        <v>36</v>
      </c>
      <c r="B39" s="1"/>
      <c r="C39" s="34" t="s">
        <v>80</v>
      </c>
      <c r="D39" s="34" t="s">
        <v>108</v>
      </c>
      <c r="E39" s="34"/>
      <c r="F39" s="1">
        <v>1.64</v>
      </c>
      <c r="G39" s="24">
        <v>122502.94879999998</v>
      </c>
      <c r="H39" s="29">
        <f>G39</f>
        <v>122502.94879999998</v>
      </c>
      <c r="I39" s="13" t="s">
        <v>148</v>
      </c>
      <c r="J39" s="7">
        <f t="shared" si="0"/>
        <v>0</v>
      </c>
      <c r="K39" s="39">
        <f t="shared" si="1"/>
        <v>0</v>
      </c>
      <c r="L39" s="6">
        <f t="shared" si="2"/>
        <v>122502.94879999998</v>
      </c>
      <c r="M39" s="23"/>
      <c r="N39" s="23">
        <f t="shared" si="4"/>
        <v>122502.94879999998</v>
      </c>
      <c r="O39" s="23">
        <f t="shared" si="3"/>
        <v>129853.12572799998</v>
      </c>
    </row>
    <row r="40" spans="1:17" x14ac:dyDescent="0.25">
      <c r="A40" s="1" t="s">
        <v>36</v>
      </c>
      <c r="B40" s="1"/>
      <c r="C40" s="34" t="s">
        <v>81</v>
      </c>
      <c r="D40" s="34" t="s">
        <v>106</v>
      </c>
      <c r="E40" s="34" t="s">
        <v>149</v>
      </c>
      <c r="F40" s="1">
        <v>1.64</v>
      </c>
      <c r="G40" s="24">
        <v>122502.94879999998</v>
      </c>
      <c r="H40" s="29">
        <f>G40</f>
        <v>122502.94879999998</v>
      </c>
      <c r="I40" s="13" t="s">
        <v>148</v>
      </c>
      <c r="J40" s="7">
        <f t="shared" si="0"/>
        <v>0</v>
      </c>
      <c r="K40" s="39">
        <f t="shared" si="1"/>
        <v>0</v>
      </c>
      <c r="L40" s="6">
        <f t="shared" si="2"/>
        <v>122502.94879999998</v>
      </c>
      <c r="M40" s="23"/>
      <c r="N40" s="23">
        <f t="shared" si="4"/>
        <v>122502.94879999998</v>
      </c>
      <c r="O40" s="23">
        <f t="shared" si="3"/>
        <v>129853.12572799998</v>
      </c>
    </row>
    <row r="41" spans="1:17" x14ac:dyDescent="0.25">
      <c r="A41" s="1" t="s">
        <v>36</v>
      </c>
      <c r="B41" s="1"/>
      <c r="C41" s="34" t="s">
        <v>82</v>
      </c>
      <c r="D41" s="34" t="s">
        <v>109</v>
      </c>
      <c r="E41" s="34"/>
      <c r="F41" s="1">
        <v>1.64</v>
      </c>
      <c r="G41" s="24">
        <v>118195.41280559987</v>
      </c>
      <c r="H41" s="29">
        <f>45287.14+80000</f>
        <v>125287.14</v>
      </c>
      <c r="I41" s="13" t="s">
        <v>148</v>
      </c>
      <c r="J41" s="7">
        <f>H41-G41</f>
        <v>7091.7271944001259</v>
      </c>
      <c r="K41" s="39">
        <f t="shared" si="1"/>
        <v>0</v>
      </c>
      <c r="L41" s="6">
        <f t="shared" si="2"/>
        <v>122502.94879999998</v>
      </c>
      <c r="M41" s="23"/>
      <c r="N41" s="23">
        <f t="shared" si="4"/>
        <v>115411.22160559986</v>
      </c>
      <c r="O41" s="23">
        <f t="shared" si="3"/>
        <v>122335.89490193586</v>
      </c>
    </row>
    <row r="42" spans="1:17" x14ac:dyDescent="0.25">
      <c r="A42" s="1" t="s">
        <v>36</v>
      </c>
      <c r="B42" s="1"/>
      <c r="C42" s="34" t="s">
        <v>83</v>
      </c>
      <c r="D42" s="34" t="s">
        <v>110</v>
      </c>
      <c r="E42" s="34"/>
      <c r="F42" s="1">
        <v>1.64</v>
      </c>
      <c r="G42" s="24">
        <v>276979.24483898393</v>
      </c>
      <c r="H42" s="29">
        <v>262000</v>
      </c>
      <c r="I42" s="13" t="s">
        <v>122</v>
      </c>
      <c r="J42" s="7">
        <f t="shared" si="0"/>
        <v>-14979.244838983926</v>
      </c>
      <c r="K42" s="39">
        <f t="shared" si="1"/>
        <v>0</v>
      </c>
      <c r="L42" s="6">
        <f t="shared" si="2"/>
        <v>122502.94879999998</v>
      </c>
      <c r="M42" s="23"/>
      <c r="N42" s="23">
        <f t="shared" si="4"/>
        <v>137482.19363898391</v>
      </c>
      <c r="O42" s="23">
        <f t="shared" si="3"/>
        <v>145731.12525732294</v>
      </c>
    </row>
    <row r="43" spans="1:17" ht="14.25" customHeight="1" x14ac:dyDescent="0.25">
      <c r="A43" s="8"/>
      <c r="B43" s="8"/>
      <c r="C43" s="8"/>
      <c r="D43" s="8"/>
      <c r="E43" s="8"/>
      <c r="F43" s="18">
        <f>SUM(F7:F42)</f>
        <v>100.08999999999999</v>
      </c>
      <c r="G43" s="9">
        <f>SUM(G7:G42)</f>
        <v>13306437.357216589</v>
      </c>
      <c r="H43" s="9">
        <f>SUM(H7:H42)</f>
        <v>6668198.9696480017</v>
      </c>
      <c r="I43" s="9"/>
      <c r="J43" s="138">
        <f t="shared" ref="J43:O43" si="5">SUM(J7:J42)</f>
        <v>-6638238.3875685921</v>
      </c>
      <c r="K43" s="9">
        <f t="shared" si="5"/>
        <v>0</v>
      </c>
      <c r="L43" s="9">
        <f t="shared" si="5"/>
        <v>7476414.7228000024</v>
      </c>
      <c r="M43" s="8">
        <f t="shared" si="5"/>
        <v>0</v>
      </c>
      <c r="N43" s="10">
        <f t="shared" si="5"/>
        <v>14114653.110368587</v>
      </c>
      <c r="O43" s="9">
        <f t="shared" si="5"/>
        <v>14961532.296990706</v>
      </c>
    </row>
    <row r="44" spans="1:17" hidden="1" x14ac:dyDescent="0.25">
      <c r="G44" t="s">
        <v>120</v>
      </c>
      <c r="I44">
        <f>SUMIF(I7:I42,"b",H7:H42)</f>
        <v>6668198.9696480017</v>
      </c>
      <c r="L44" s="11"/>
    </row>
    <row r="45" spans="1:17" hidden="1" x14ac:dyDescent="0.25">
      <c r="G45" t="s">
        <v>121</v>
      </c>
      <c r="I45">
        <f>SUMIF(I7:I42,"e",H7:H42)</f>
        <v>0</v>
      </c>
    </row>
    <row r="46" spans="1:17" hidden="1" x14ac:dyDescent="0.25">
      <c r="G46" t="s">
        <v>16</v>
      </c>
      <c r="H46" s="35">
        <f>I44+I45</f>
        <v>6668198.9696480017</v>
      </c>
    </row>
    <row r="49" spans="4:14" x14ac:dyDescent="0.25">
      <c r="D49" s="167" t="s">
        <v>178</v>
      </c>
      <c r="E49" s="167"/>
      <c r="F49" s="167"/>
      <c r="G49" s="167"/>
      <c r="H49" s="167"/>
      <c r="I49" s="167"/>
      <c r="J49" s="167"/>
      <c r="K49" s="167"/>
      <c r="L49" s="167"/>
      <c r="M49" s="167"/>
      <c r="N49" s="167"/>
    </row>
    <row r="50" spans="4:14" x14ac:dyDescent="0.25">
      <c r="D50" s="167"/>
      <c r="E50" s="167"/>
      <c r="F50" s="167"/>
      <c r="G50" s="167"/>
      <c r="H50" s="167"/>
      <c r="I50" s="167"/>
      <c r="J50" s="167"/>
      <c r="K50" s="167"/>
      <c r="L50" s="167"/>
      <c r="M50" s="167"/>
      <c r="N50" s="167"/>
    </row>
    <row r="51" spans="4:14" x14ac:dyDescent="0.25">
      <c r="D51" s="167"/>
      <c r="E51" s="167"/>
      <c r="F51" s="167"/>
      <c r="G51" s="167"/>
      <c r="H51" s="167"/>
      <c r="I51" s="167"/>
      <c r="J51" s="167"/>
      <c r="K51" s="167"/>
      <c r="L51" s="167"/>
      <c r="M51" s="167"/>
      <c r="N51" s="167"/>
    </row>
    <row r="52" spans="4:14" x14ac:dyDescent="0.25">
      <c r="D52" s="167"/>
      <c r="E52" s="167"/>
      <c r="F52" s="167"/>
      <c r="G52" s="167"/>
      <c r="H52" s="167"/>
      <c r="I52" s="167"/>
      <c r="J52" s="167"/>
      <c r="K52" s="167"/>
      <c r="L52" s="167"/>
      <c r="M52" s="167"/>
      <c r="N52" s="167"/>
    </row>
    <row r="53" spans="4:14" x14ac:dyDescent="0.25">
      <c r="D53" s="167"/>
      <c r="E53" s="167"/>
      <c r="F53" s="167"/>
      <c r="G53" s="167"/>
      <c r="H53" s="167"/>
      <c r="I53" s="167"/>
      <c r="J53" s="167"/>
      <c r="K53" s="167"/>
      <c r="L53" s="167"/>
      <c r="M53" s="167"/>
      <c r="N53" s="167"/>
    </row>
    <row r="54" spans="4:14" x14ac:dyDescent="0.25">
      <c r="D54" s="167"/>
      <c r="E54" s="167"/>
      <c r="F54" s="167"/>
      <c r="G54" s="167"/>
      <c r="H54" s="167"/>
      <c r="I54" s="167"/>
      <c r="J54" s="167"/>
      <c r="K54" s="167"/>
      <c r="L54" s="167"/>
      <c r="M54" s="167"/>
      <c r="N54" s="167"/>
    </row>
  </sheetData>
  <mergeCells count="17">
    <mergeCell ref="D49:N54"/>
    <mergeCell ref="N4:O4"/>
    <mergeCell ref="N3:O3"/>
    <mergeCell ref="G5:G6"/>
    <mergeCell ref="O5:O6"/>
    <mergeCell ref="H5:H6"/>
    <mergeCell ref="J5:J6"/>
    <mergeCell ref="K5:K6"/>
    <mergeCell ref="L5:L6"/>
    <mergeCell ref="M5:M6"/>
    <mergeCell ref="N5:N6"/>
    <mergeCell ref="A5:A6"/>
    <mergeCell ref="B5:B6"/>
    <mergeCell ref="C5:C6"/>
    <mergeCell ref="D5:D6"/>
    <mergeCell ref="F5:F6"/>
    <mergeCell ref="E5:E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6:O38"/>
  <sheetViews>
    <sheetView topLeftCell="A10" workbookViewId="0">
      <selection activeCell="I33" sqref="I33"/>
    </sheetView>
  </sheetViews>
  <sheetFormatPr baseColWidth="10" defaultRowHeight="15" x14ac:dyDescent="0.25"/>
  <sheetData>
    <row r="6" spans="5:13" ht="15.75" thickBot="1" x14ac:dyDescent="0.3"/>
    <row r="7" spans="5:13" ht="15.75" thickBot="1" x14ac:dyDescent="0.3">
      <c r="E7" s="182" t="s">
        <v>161</v>
      </c>
      <c r="F7" s="183"/>
      <c r="G7" s="183"/>
      <c r="H7" s="183"/>
      <c r="I7" s="183"/>
      <c r="J7" s="183"/>
      <c r="K7" s="181"/>
      <c r="L7" s="43"/>
      <c r="M7" s="44"/>
    </row>
    <row r="8" spans="5:13" ht="15.75" thickBot="1" x14ac:dyDescent="0.3">
      <c r="E8" s="184" t="s">
        <v>162</v>
      </c>
      <c r="F8" s="183"/>
      <c r="G8" s="183"/>
      <c r="H8" s="183"/>
      <c r="I8" s="183"/>
      <c r="J8" s="183"/>
      <c r="K8" s="181"/>
      <c r="L8" s="45"/>
      <c r="M8" s="46"/>
    </row>
    <row r="9" spans="5:13" x14ac:dyDescent="0.25">
      <c r="E9" s="43"/>
      <c r="F9" s="47"/>
      <c r="G9" s="47"/>
      <c r="H9" s="47"/>
      <c r="I9" s="48"/>
      <c r="J9" s="48" t="s">
        <v>163</v>
      </c>
      <c r="K9" s="46"/>
      <c r="L9" s="45"/>
      <c r="M9" s="46"/>
    </row>
    <row r="10" spans="5:13" x14ac:dyDescent="0.25">
      <c r="E10" s="45" t="s">
        <v>164</v>
      </c>
      <c r="F10" s="48"/>
      <c r="G10" s="48"/>
      <c r="H10" s="48"/>
      <c r="I10" s="48"/>
      <c r="J10" s="48" t="s">
        <v>165</v>
      </c>
      <c r="K10" s="46"/>
      <c r="L10" s="45"/>
      <c r="M10" s="46"/>
    </row>
    <row r="11" spans="5:13" x14ac:dyDescent="0.25">
      <c r="E11" s="49"/>
      <c r="F11" s="50"/>
      <c r="G11" s="50"/>
      <c r="H11" s="50"/>
      <c r="I11" s="50"/>
      <c r="J11" s="50"/>
      <c r="K11" s="51"/>
      <c r="L11" s="45"/>
      <c r="M11" s="46"/>
    </row>
    <row r="12" spans="5:13" x14ac:dyDescent="0.25">
      <c r="E12" s="185" t="s">
        <v>166</v>
      </c>
      <c r="F12" s="186"/>
      <c r="G12" s="186"/>
      <c r="H12" s="186"/>
      <c r="I12" s="186"/>
      <c r="J12" s="186"/>
      <c r="K12" s="187"/>
      <c r="L12" s="45"/>
      <c r="M12" s="46"/>
    </row>
    <row r="13" spans="5:13" x14ac:dyDescent="0.25">
      <c r="E13" s="45"/>
      <c r="F13" s="48"/>
      <c r="G13" s="48"/>
      <c r="H13" s="48"/>
      <c r="I13" s="48"/>
      <c r="J13" s="48"/>
      <c r="K13" s="46"/>
      <c r="L13" s="45"/>
      <c r="M13" s="46"/>
    </row>
    <row r="14" spans="5:13" x14ac:dyDescent="0.25">
      <c r="E14" s="45" t="s">
        <v>167</v>
      </c>
      <c r="F14" s="48"/>
      <c r="G14" s="48" t="str">
        <f>PRORRATEO!D12</f>
        <v>RAMOS PAMELA</v>
      </c>
      <c r="H14" s="48"/>
      <c r="I14" s="48" t="s">
        <v>168</v>
      </c>
      <c r="J14" s="52">
        <v>45600</v>
      </c>
      <c r="K14" s="46"/>
      <c r="L14" s="175" t="s">
        <v>169</v>
      </c>
      <c r="M14" s="176"/>
    </row>
    <row r="15" spans="5:13" x14ac:dyDescent="0.25">
      <c r="E15" s="45" t="s">
        <v>170</v>
      </c>
      <c r="F15" s="53" t="str">
        <f>PRORRATEO!C12</f>
        <v>2A</v>
      </c>
      <c r="G15" s="48"/>
      <c r="H15" s="48"/>
      <c r="I15" s="48"/>
      <c r="J15" s="48"/>
      <c r="K15" s="46"/>
      <c r="L15" s="45"/>
      <c r="M15" s="46"/>
    </row>
    <row r="16" spans="5:13" x14ac:dyDescent="0.25">
      <c r="E16" s="45"/>
      <c r="F16" s="48"/>
      <c r="G16" s="48"/>
      <c r="H16" s="48"/>
      <c r="I16" s="48"/>
      <c r="J16" s="48"/>
      <c r="K16" s="46"/>
      <c r="L16" s="177"/>
      <c r="M16" s="176"/>
    </row>
    <row r="17" spans="5:15" x14ac:dyDescent="0.25">
      <c r="E17" s="45"/>
      <c r="F17" s="48"/>
      <c r="G17" s="48"/>
      <c r="H17" s="48"/>
      <c r="I17" s="48"/>
      <c r="J17" s="48"/>
      <c r="K17" s="46"/>
      <c r="L17" s="45"/>
      <c r="M17" s="46"/>
    </row>
    <row r="18" spans="5:15" x14ac:dyDescent="0.25">
      <c r="E18" s="45"/>
      <c r="F18" s="48"/>
      <c r="G18" s="48"/>
      <c r="H18" s="48"/>
      <c r="I18" s="48"/>
      <c r="J18" s="48"/>
      <c r="K18" s="46"/>
      <c r="L18" s="45"/>
      <c r="M18" s="46"/>
    </row>
    <row r="19" spans="5:15" ht="15.75" thickBot="1" x14ac:dyDescent="0.3">
      <c r="E19" s="45"/>
      <c r="F19" s="48"/>
      <c r="G19" s="48"/>
      <c r="H19" s="48"/>
      <c r="I19" s="48"/>
      <c r="J19" s="48"/>
      <c r="K19" s="46"/>
      <c r="L19" s="54"/>
      <c r="M19" s="55"/>
    </row>
    <row r="20" spans="5:15" ht="15.75" thickBot="1" x14ac:dyDescent="0.3">
      <c r="E20" s="178" t="s">
        <v>171</v>
      </c>
      <c r="F20" s="179"/>
      <c r="G20" s="179"/>
      <c r="H20" s="179"/>
      <c r="I20" s="179"/>
      <c r="J20" s="180">
        <f>PRORRATEO!H12</f>
        <v>248740.74360000002</v>
      </c>
      <c r="K20" s="181"/>
      <c r="L20" s="56"/>
      <c r="M20" s="57"/>
    </row>
    <row r="24" spans="5:15" ht="15.75" thickBot="1" x14ac:dyDescent="0.3"/>
    <row r="25" spans="5:15" ht="15.75" thickBot="1" x14ac:dyDescent="0.3">
      <c r="G25" s="182" t="s">
        <v>161</v>
      </c>
      <c r="H25" s="183"/>
      <c r="I25" s="183"/>
      <c r="J25" s="183"/>
      <c r="K25" s="183"/>
      <c r="L25" s="183"/>
      <c r="M25" s="181"/>
      <c r="N25" s="43"/>
      <c r="O25" s="44"/>
    </row>
    <row r="26" spans="5:15" ht="15.75" thickBot="1" x14ac:dyDescent="0.3">
      <c r="G26" s="184" t="s">
        <v>162</v>
      </c>
      <c r="H26" s="183"/>
      <c r="I26" s="183"/>
      <c r="J26" s="183"/>
      <c r="K26" s="183"/>
      <c r="L26" s="183"/>
      <c r="M26" s="181"/>
      <c r="N26" s="45"/>
      <c r="O26" s="46"/>
    </row>
    <row r="27" spans="5:15" x14ac:dyDescent="0.25">
      <c r="G27" s="43"/>
      <c r="H27" s="47"/>
      <c r="I27" s="47"/>
      <c r="J27" s="47"/>
      <c r="K27" s="48"/>
      <c r="L27" s="48" t="s">
        <v>163</v>
      </c>
      <c r="M27" s="46"/>
      <c r="N27" s="45"/>
      <c r="O27" s="46"/>
    </row>
    <row r="28" spans="5:15" x14ac:dyDescent="0.25">
      <c r="G28" s="45" t="s">
        <v>164</v>
      </c>
      <c r="H28" s="48"/>
      <c r="I28" s="48"/>
      <c r="J28" s="48"/>
      <c r="K28" s="48"/>
      <c r="L28" s="48" t="s">
        <v>165</v>
      </c>
      <c r="M28" s="46"/>
      <c r="N28" s="45"/>
      <c r="O28" s="46"/>
    </row>
    <row r="29" spans="5:15" x14ac:dyDescent="0.25">
      <c r="G29" s="49"/>
      <c r="H29" s="50"/>
      <c r="I29" s="50"/>
      <c r="J29" s="50"/>
      <c r="K29" s="50"/>
      <c r="L29" s="50"/>
      <c r="M29" s="51"/>
      <c r="N29" s="45"/>
      <c r="O29" s="46"/>
    </row>
    <row r="30" spans="5:15" x14ac:dyDescent="0.25">
      <c r="G30" s="185" t="s">
        <v>166</v>
      </c>
      <c r="H30" s="186"/>
      <c r="I30" s="186"/>
      <c r="J30" s="186"/>
      <c r="K30" s="186"/>
      <c r="L30" s="186"/>
      <c r="M30" s="187"/>
      <c r="N30" s="45"/>
      <c r="O30" s="46"/>
    </row>
    <row r="31" spans="5:15" x14ac:dyDescent="0.25">
      <c r="G31" s="45"/>
      <c r="H31" s="48"/>
      <c r="I31" s="48"/>
      <c r="J31" s="48"/>
      <c r="K31" s="48"/>
      <c r="L31" s="48"/>
      <c r="M31" s="46"/>
      <c r="N31" s="45"/>
      <c r="O31" s="46"/>
    </row>
    <row r="32" spans="5:15" x14ac:dyDescent="0.25">
      <c r="G32" s="45" t="s">
        <v>167</v>
      </c>
      <c r="H32" s="48"/>
      <c r="I32" s="48"/>
      <c r="J32" s="48"/>
      <c r="K32" s="48" t="s">
        <v>168</v>
      </c>
      <c r="L32" s="52">
        <v>45600</v>
      </c>
      <c r="M32" s="46"/>
      <c r="N32" s="175" t="s">
        <v>169</v>
      </c>
      <c r="O32" s="176"/>
    </row>
    <row r="33" spans="7:15" x14ac:dyDescent="0.25">
      <c r="G33" s="45" t="s">
        <v>170</v>
      </c>
      <c r="H33" s="53" t="str">
        <f>PRORRATEO!E30</f>
        <v>Nelida</v>
      </c>
      <c r="I33" s="48"/>
      <c r="J33" s="48"/>
      <c r="K33" s="48"/>
      <c r="L33" s="48"/>
      <c r="M33" s="46"/>
      <c r="N33" s="45"/>
      <c r="O33" s="46"/>
    </row>
    <row r="34" spans="7:15" x14ac:dyDescent="0.25">
      <c r="G34" s="45"/>
      <c r="H34" s="48"/>
      <c r="I34" s="48"/>
      <c r="J34" s="48"/>
      <c r="K34" s="48"/>
      <c r="L34" s="48"/>
      <c r="M34" s="46"/>
      <c r="N34" s="177"/>
      <c r="O34" s="176"/>
    </row>
    <row r="35" spans="7:15" x14ac:dyDescent="0.25">
      <c r="G35" s="45"/>
      <c r="H35" s="48"/>
      <c r="I35" s="48"/>
      <c r="J35" s="48"/>
      <c r="K35" s="48"/>
      <c r="L35" s="48"/>
      <c r="M35" s="46"/>
      <c r="N35" s="45"/>
      <c r="O35" s="46"/>
    </row>
    <row r="36" spans="7:15" x14ac:dyDescent="0.25">
      <c r="G36" s="45"/>
      <c r="H36" s="48"/>
      <c r="I36" s="48"/>
      <c r="J36" s="48"/>
      <c r="K36" s="48"/>
      <c r="L36" s="48"/>
      <c r="M36" s="46"/>
      <c r="N36" s="45"/>
      <c r="O36" s="46"/>
    </row>
    <row r="37" spans="7:15" ht="15.75" thickBot="1" x14ac:dyDescent="0.3">
      <c r="G37" s="45"/>
      <c r="H37" s="48"/>
      <c r="I37" s="48"/>
      <c r="J37" s="48"/>
      <c r="K37" s="48"/>
      <c r="L37" s="48"/>
      <c r="M37" s="46"/>
      <c r="N37" s="54"/>
      <c r="O37" s="55"/>
    </row>
    <row r="38" spans="7:15" ht="15.75" thickBot="1" x14ac:dyDescent="0.3">
      <c r="G38" s="178" t="s">
        <v>171</v>
      </c>
      <c r="H38" s="179"/>
      <c r="I38" s="179"/>
      <c r="J38" s="179"/>
      <c r="K38" s="179"/>
      <c r="L38" s="180">
        <f>PRORRATEO!J30</f>
        <v>0</v>
      </c>
      <c r="M38" s="181"/>
      <c r="N38" s="56"/>
      <c r="O38" s="57"/>
    </row>
  </sheetData>
  <mergeCells count="14">
    <mergeCell ref="N32:O32"/>
    <mergeCell ref="N34:O34"/>
    <mergeCell ref="G38:K38"/>
    <mergeCell ref="L38:M38"/>
    <mergeCell ref="E7:K7"/>
    <mergeCell ref="E8:K8"/>
    <mergeCell ref="E12:K12"/>
    <mergeCell ref="L14:M14"/>
    <mergeCell ref="L16:M16"/>
    <mergeCell ref="E20:I20"/>
    <mergeCell ref="J20:K20"/>
    <mergeCell ref="G25:M25"/>
    <mergeCell ref="G26:M26"/>
    <mergeCell ref="G30:M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Recibo </vt:lpstr>
      <vt:lpstr>PRORRATEO!Área_de_impresión</vt:lpstr>
      <vt:lpstr>'Recibo 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2025-06-29T21:00:26Z</cp:lastPrinted>
  <dcterms:created xsi:type="dcterms:W3CDTF">2023-09-17T12:29:07Z</dcterms:created>
  <dcterms:modified xsi:type="dcterms:W3CDTF">2025-07-28T21:01:23Z</dcterms:modified>
</cp:coreProperties>
</file>