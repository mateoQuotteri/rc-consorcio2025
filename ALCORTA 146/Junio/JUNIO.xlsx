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Junio\"/>
    </mc:Choice>
  </mc:AlternateContent>
  <xr:revisionPtr revIDLastSave="0" documentId="13_ncr:1_{777B9947-3728-4D5E-889D-46363274DBF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RESUMEN!$A$1:$E$125</definedName>
  </definedNames>
  <calcPr calcId="181029"/>
</workbook>
</file>

<file path=xl/calcChain.xml><?xml version="1.0" encoding="utf-8"?>
<calcChain xmlns="http://schemas.openxmlformats.org/spreadsheetml/2006/main">
  <c r="H18" i="2" l="1"/>
  <c r="E57" i="1"/>
  <c r="E69" i="1"/>
  <c r="E75" i="1"/>
  <c r="E79" i="1"/>
  <c r="H19" i="2"/>
  <c r="H8" i="2"/>
  <c r="H20" i="2"/>
  <c r="H25" i="2"/>
  <c r="Q8" i="2"/>
  <c r="H7" i="2"/>
  <c r="H28" i="2"/>
  <c r="H36" i="2"/>
  <c r="H10" i="2"/>
  <c r="H24" i="2"/>
  <c r="H9" i="2"/>
  <c r="D77" i="1"/>
  <c r="N3" i="2" l="1"/>
  <c r="H23" i="2"/>
  <c r="H14" i="2"/>
  <c r="H27" i="2"/>
  <c r="H11" i="2" l="1"/>
  <c r="H13" i="2" l="1"/>
  <c r="H30" i="2"/>
  <c r="B114" i="1" l="1"/>
  <c r="H12" i="2"/>
  <c r="E50" i="1" l="1"/>
  <c r="E46" i="1"/>
  <c r="E37" i="1"/>
  <c r="E41" i="1"/>
  <c r="G39" i="1" l="1"/>
  <c r="E83" i="1"/>
  <c r="H33" i="3" l="1"/>
  <c r="H32" i="2" l="1"/>
  <c r="H26" i="2"/>
  <c r="J20" i="3"/>
  <c r="F15" i="3"/>
  <c r="G14" i="3"/>
  <c r="H33" i="2" l="1"/>
  <c r="A54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0" i="1"/>
  <c r="B96" i="1" s="1"/>
  <c r="B97" i="1" l="1"/>
  <c r="H40" i="2" l="1"/>
  <c r="J21" i="2" l="1"/>
  <c r="A55" i="1" l="1"/>
  <c r="C124" i="1" l="1"/>
  <c r="C54" i="1" l="1"/>
  <c r="C55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13" i="1" s="1"/>
  <c r="B118" i="1" s="1"/>
  <c r="H39" i="2"/>
  <c r="J39" i="2" s="1"/>
  <c r="H37" i="2"/>
  <c r="J37" i="2" s="1"/>
  <c r="J36" i="2"/>
  <c r="J19" i="2"/>
  <c r="J30" i="2"/>
  <c r="L38" i="3" s="1"/>
  <c r="J28" i="2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95" i="1" l="1"/>
  <c r="O25" i="2"/>
  <c r="O14" i="2"/>
  <c r="O12" i="2"/>
  <c r="O22" i="2"/>
  <c r="O33" i="2"/>
  <c r="O40" i="2"/>
  <c r="O42" i="2"/>
  <c r="B98" i="1" l="1"/>
  <c r="B106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4" i="1" l="1"/>
  <c r="H43" i="2"/>
  <c r="J18" i="2"/>
  <c r="I44" i="2"/>
  <c r="H46" i="2" s="1"/>
  <c r="N18" i="2" l="1"/>
  <c r="N43" i="2" s="1"/>
  <c r="J43" i="2"/>
  <c r="B105" i="1"/>
  <c r="B107" i="1" s="1"/>
  <c r="O18" i="2" l="1"/>
  <c r="O43" i="2" s="1"/>
</calcChain>
</file>

<file path=xl/sharedStrings.xml><?xml version="1.0" encoding="utf-8"?>
<sst xmlns="http://schemas.openxmlformats.org/spreadsheetml/2006/main" count="286" uniqueCount="205">
  <si>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</si>
  <si>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</si>
  <si>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</si>
  <si>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</si>
  <si>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</si>
  <si>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</si>
  <si>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</si>
  <si>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</si>
  <si>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</si>
  <si>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</si>
  <si>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</si>
  <si>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</si>
  <si>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</si>
  <si>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</si>
  <si>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</si>
  <si>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</si>
  <si>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</si>
  <si>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</si>
  <si>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</si>
  <si>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</si>
  <si>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</si>
  <si>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</si>
  <si>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</si>
  <si>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</si>
  <si>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</si>
  <si>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</si>
  <si>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</si>
  <si>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</si>
  <si>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</si>
  <si>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</si>
  <si>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</si>
  <si>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</si>
  <si>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</si>
  <si>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</si>
  <si>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</si>
  <si>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</si>
  <si>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</si>
  <si>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</si>
  <si>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</si>
  <si>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</si>
  <si>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</si>
  <si>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</si>
  <si>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</si>
  <si>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</si>
  <si>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</si>
  <si>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</si>
  <si>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</si>
  <si>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</si>
  <si>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</si>
  <si>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</si>
  <si>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</si>
  <si>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</si>
  <si>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</si>
  <si>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</si>
  <si>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</si>
  <si>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</si>
  <si>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</si>
  <si>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</si>
  <si>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</si>
  <si>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</si>
  <si>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</si>
  <si>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</si>
  <si>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</si>
  <si>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</si>
  <si>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</si>
  <si>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</si>
  <si>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</si>
  <si>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</si>
  <si>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</si>
  <si>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</si>
  <si>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</si>
  <si>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</si>
  <si>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</si>
  <si>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</si>
  <si>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</si>
  <si>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</si>
  <si>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</si>
  <si>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</si>
  <si>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</si>
  <si>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</si>
  <si>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</si>
  <si>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</si>
  <si>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</si>
  <si>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</si>
  <si>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</si>
  <si>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</si>
  <si>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</si>
  <si>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</si>
  <si>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</si>
  <si>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</si>
  <si>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</si>
  <si>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</si>
  <si>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</si>
  <si>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</si>
  <si>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</si>
  <si>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</si>
  <si>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</si>
  <si>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</si>
  <si>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</si>
  <si>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</si>
  <si>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</si>
  <si>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</si>
  <si>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</si>
  <si>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</si>
  <si>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</si>
  <si>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</si>
  <si>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</si>
  <si>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</si>
  <si>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</si>
  <si>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</si>
  <si>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</si>
  <si>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</si>
  <si>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</si>
  <si>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</si>
  <si>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</si>
  <si>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</si>
  <si>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</si>
  <si>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</si>
  <si>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</si>
  <si>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</si>
  <si>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</si>
  <si>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</si>
  <si>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</si>
  <si>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</si>
  <si>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</si>
  <si>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</si>
  <si>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</si>
  <si>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</si>
  <si>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</si>
  <si>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</si>
  <si>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</si>
  <si>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</si>
  <si>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</si>
  <si>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</si>
  <si>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</si>
  <si>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</si>
  <si>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</si>
  <si>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</si>
  <si>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</si>
  <si>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</si>
  <si>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</si>
  <si>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</si>
  <si>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</si>
  <si>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</si>
  <si>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</si>
  <si>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</si>
  <si>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</si>
  <si>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</si>
  <si>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</si>
  <si>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</si>
  <si>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</si>
  <si>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</si>
  <si>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</si>
  <si>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</si>
  <si>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</si>
  <si>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</si>
  <si>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</si>
  <si>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</si>
  <si>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</si>
  <si>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</si>
  <si>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</si>
  <si>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</si>
  <si>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</si>
  <si>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</si>
  <si>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</si>
  <si>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</si>
  <si>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</si>
  <si>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</si>
  <si>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</si>
  <si>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</si>
  <si>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</si>
  <si>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</si>
  <si>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</si>
  <si>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</si>
  <si>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</si>
  <si>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</si>
  <si>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</si>
  <si>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</si>
  <si>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</si>
  <si>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</si>
  <si>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</si>
  <si>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</si>
  <si>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</si>
  <si>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Olga</t>
  </si>
  <si>
    <t>ESTA ES LARROCA</t>
  </si>
  <si>
    <t>Aumentados en marz</t>
  </si>
  <si>
    <t>FERNANDA</t>
  </si>
  <si>
    <t>RUSSO</t>
  </si>
  <si>
    <t>VTO 14/07</t>
  </si>
  <si>
    <t>PERÍODO: JUNIO</t>
  </si>
  <si>
    <t>Mes de JUNIO</t>
  </si>
  <si>
    <t>Sindicatos periodo JUNIO</t>
  </si>
  <si>
    <t xml:space="preserve">AYSA  - Mes de JUNIO </t>
  </si>
  <si>
    <t>Fumigacion -  JUNIO</t>
  </si>
  <si>
    <t>Metrogas JUNIO</t>
  </si>
  <si>
    <t>Mes MAYO</t>
  </si>
  <si>
    <t>ARCA MES DE MAYO</t>
  </si>
  <si>
    <t>EDESUR Nro de cliente : 01121995 - Mes de Mayo sin abonar</t>
  </si>
  <si>
    <t>Cuota 6</t>
  </si>
  <si>
    <t>Debito 12/06</t>
  </si>
  <si>
    <t>Debito 09/06</t>
  </si>
  <si>
    <t xml:space="preserve">PREVISION ORDINARIA </t>
  </si>
  <si>
    <t>Nestor</t>
  </si>
  <si>
    <t>MARIA GARCIA CRISTINA</t>
  </si>
  <si>
    <t>EN MAYO ABONO $131.386,79 Y SE LO PSUIMOS A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</si>
</sst>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d/m"/>
    <numFmt numFmtId="169" formatCode="_-&quot;$&quot;\ * #,##0.00_-;\-&quot;$&quot;\ * #,##0.00_-;_-&quot;$&quot;\ * &quot;-&quot;??_-;_-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164" fontId="0" fillId="0" borderId="0" xfId="0" applyNumberFormat="1"/>
    <xf numFmtId="167" fontId="0" fillId="0" borderId="1" xfId="1" applyNumberFormat="1" applyFont="1" applyBorder="1"/>
    <xf numFmtId="167" fontId="0" fillId="0" borderId="1" xfId="0" applyNumberFormat="1" applyBorder="1"/>
    <xf numFmtId="0" fontId="0" fillId="7" borderId="1" xfId="0" applyFill="1" applyBorder="1"/>
    <xf numFmtId="167" fontId="0" fillId="7" borderId="1" xfId="0" applyNumberFormat="1" applyFill="1" applyBorder="1"/>
    <xf numFmtId="3" fontId="0" fillId="7" borderId="1" xfId="0" applyNumberFormat="1" applyFill="1" applyBorder="1"/>
    <xf numFmtId="167" fontId="0" fillId="0" borderId="0" xfId="0" applyNumberFormat="1"/>
    <xf numFmtId="164" fontId="4" fillId="4" borderId="6" xfId="0" applyNumberFormat="1" applyFont="1" applyFill="1" applyBorder="1"/>
    <xf numFmtId="167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165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164" fontId="8" fillId="4" borderId="1" xfId="0" applyNumberFormat="1" applyFont="1" applyFill="1" applyBorder="1"/>
    <xf numFmtId="165" fontId="4" fillId="4" borderId="1" xfId="1" applyFont="1" applyFill="1" applyBorder="1"/>
    <xf numFmtId="165" fontId="0" fillId="0" borderId="1" xfId="1" applyFont="1" applyBorder="1"/>
    <xf numFmtId="165" fontId="2" fillId="0" borderId="1" xfId="1" applyFont="1" applyBorder="1"/>
    <xf numFmtId="165" fontId="4" fillId="4" borderId="6" xfId="1" applyFont="1" applyFill="1" applyBorder="1"/>
    <xf numFmtId="165" fontId="2" fillId="4" borderId="1" xfId="1" applyFont="1" applyFill="1" applyBorder="1"/>
    <xf numFmtId="165" fontId="2" fillId="4" borderId="6" xfId="1" applyFont="1" applyFill="1" applyBorder="1"/>
    <xf numFmtId="0" fontId="0" fillId="0" borderId="0" xfId="0" applyAlignment="1">
      <alignment wrapText="1"/>
    </xf>
    <xf numFmtId="167" fontId="2" fillId="2" borderId="1" xfId="1" applyNumberFormat="1" applyFont="1" applyFill="1" applyBorder="1"/>
    <xf numFmtId="0" fontId="5" fillId="2" borderId="0" xfId="0" applyFont="1" applyFill="1"/>
    <xf numFmtId="165" fontId="0" fillId="0" borderId="0" xfId="0" applyNumberFormat="1"/>
    <xf numFmtId="0" fontId="6" fillId="6" borderId="0" xfId="0" applyFont="1" applyFill="1"/>
    <xf numFmtId="165" fontId="6" fillId="6" borderId="0" xfId="1" applyFont="1" applyFill="1"/>
    <xf numFmtId="0" fontId="9" fillId="0" borderId="1" xfId="0" applyFont="1" applyBorder="1"/>
    <xf numFmtId="0" fontId="10" fillId="0" borderId="1" xfId="0" applyFont="1" applyBorder="1"/>
    <xf numFmtId="165" fontId="10" fillId="0" borderId="0" xfId="1" applyFont="1"/>
    <xf numFmtId="164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7" fontId="1" fillId="0" borderId="1" xfId="1" applyNumberFormat="1" applyFont="1" applyBorder="1"/>
    <xf numFmtId="164" fontId="2" fillId="2" borderId="1" xfId="1" applyNumberFormat="1" applyFont="1" applyFill="1" applyBorder="1"/>
    <xf numFmtId="165" fontId="4" fillId="0" borderId="1" xfId="1" applyFont="1" applyBorder="1"/>
    <xf numFmtId="167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8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9" borderId="1" xfId="0" applyNumberFormat="1" applyFont="1" applyFill="1" applyBorder="1"/>
    <xf numFmtId="164" fontId="2" fillId="9" borderId="6" xfId="0" applyNumberFormat="1" applyFont="1" applyFill="1" applyBorder="1"/>
    <xf numFmtId="164" fontId="2" fillId="4" borderId="6" xfId="0" applyNumberFormat="1" applyFont="1" applyFill="1" applyBorder="1"/>
    <xf numFmtId="164" fontId="4" fillId="4" borderId="21" xfId="1" applyNumberFormat="1" applyFont="1" applyFill="1" applyBorder="1"/>
    <xf numFmtId="164" fontId="2" fillId="2" borderId="22" xfId="0" applyNumberFormat="1" applyFont="1" applyFill="1" applyBorder="1"/>
    <xf numFmtId="165" fontId="8" fillId="4" borderId="3" xfId="1" applyFont="1" applyFill="1" applyBorder="1"/>
    <xf numFmtId="165" fontId="2" fillId="0" borderId="3" xfId="1" applyFont="1" applyBorder="1"/>
    <xf numFmtId="164" fontId="4" fillId="4" borderId="13" xfId="1" applyNumberFormat="1" applyFont="1" applyFill="1" applyBorder="1"/>
    <xf numFmtId="165" fontId="2" fillId="0" borderId="2" xfId="1" applyFont="1" applyBorder="1"/>
    <xf numFmtId="165" fontId="4" fillId="4" borderId="13" xfId="1" applyFont="1" applyFill="1" applyBorder="1"/>
    <xf numFmtId="165" fontId="2" fillId="4" borderId="3" xfId="1" applyFont="1" applyFill="1" applyBorder="1"/>
    <xf numFmtId="165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165" fontId="4" fillId="4" borderId="2" xfId="1" applyFont="1" applyFill="1" applyBorder="1"/>
    <xf numFmtId="165" fontId="2" fillId="2" borderId="3" xfId="1" applyFont="1" applyFill="1" applyBorder="1"/>
    <xf numFmtId="165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165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165" fontId="4" fillId="5" borderId="11" xfId="0" applyNumberFormat="1" applyFont="1" applyFill="1" applyBorder="1"/>
    <xf numFmtId="0" fontId="2" fillId="4" borderId="23" xfId="0" applyFont="1" applyFill="1" applyBorder="1"/>
    <xf numFmtId="165" fontId="2" fillId="0" borderId="24" xfId="1" applyFont="1" applyBorder="1"/>
    <xf numFmtId="165" fontId="2" fillId="0" borderId="0" xfId="0" applyNumberFormat="1" applyFont="1"/>
    <xf numFmtId="165" fontId="4" fillId="4" borderId="25" xfId="1" applyFont="1" applyFill="1" applyBorder="1"/>
    <xf numFmtId="0" fontId="4" fillId="4" borderId="0" xfId="0" applyFont="1" applyFill="1"/>
    <xf numFmtId="165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165" fontId="4" fillId="7" borderId="11" xfId="0" applyNumberFormat="1" applyFont="1" applyFill="1" applyBorder="1"/>
    <xf numFmtId="0" fontId="4" fillId="7" borderId="16" xfId="0" applyFont="1" applyFill="1" applyBorder="1"/>
    <xf numFmtId="165" fontId="4" fillId="7" borderId="17" xfId="0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7" fillId="6" borderId="0" xfId="0" applyFont="1" applyFill="1"/>
    <xf numFmtId="165" fontId="7" fillId="2" borderId="1" xfId="1" applyFont="1" applyFill="1" applyBorder="1"/>
    <xf numFmtId="166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165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165" fontId="2" fillId="0" borderId="0" xfId="1" applyFont="1"/>
    <xf numFmtId="165" fontId="3" fillId="0" borderId="0" xfId="1" applyFont="1"/>
    <xf numFmtId="4" fontId="7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6" fontId="2" fillId="0" borderId="0" xfId="0" applyNumberFormat="1" applyFont="1"/>
    <xf numFmtId="167" fontId="10" fillId="7" borderId="1" xfId="0" applyNumberFormat="1" applyFont="1" applyFill="1" applyBorder="1"/>
    <xf numFmtId="165" fontId="5" fillId="0" borderId="1" xfId="1" applyFont="1" applyBorder="1"/>
    <xf numFmtId="0" fontId="2" fillId="0" borderId="1" xfId="0" applyFont="1" applyBorder="1" applyAlignment="1">
      <alignment wrapText="1"/>
    </xf>
    <xf numFmtId="165" fontId="19" fillId="2" borderId="1" xfId="1" applyFont="1" applyFill="1" applyBorder="1"/>
    <xf numFmtId="165" fontId="5" fillId="2" borderId="1" xfId="1" applyFont="1" applyFill="1" applyBorder="1" applyAlignment="1">
      <alignment horizontal="right"/>
    </xf>
    <xf numFmtId="0" fontId="9" fillId="2" borderId="1" xfId="0" applyFont="1" applyFill="1" applyBorder="1"/>
    <xf numFmtId="165" fontId="2" fillId="2" borderId="0" xfId="1" applyFont="1" applyFill="1" applyAlignment="1">
      <alignment horizontal="right"/>
    </xf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165" fontId="0" fillId="3" borderId="8" xfId="1" applyFont="1" applyFill="1" applyBorder="1" applyAlignment="1">
      <alignment horizontal="center" vertical="center"/>
    </xf>
    <xf numFmtId="165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9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165" fontId="2" fillId="9" borderId="1" xfId="1" applyFont="1" applyFill="1" applyBorder="1"/>
    <xf numFmtId="167" fontId="2" fillId="9" borderId="1" xfId="1" applyNumberFormat="1" applyFont="1" applyFill="1" applyBorder="1"/>
    <xf numFmtId="0" fontId="0" fillId="9" borderId="0" xfId="0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opLeftCell="A75" workbookViewId="0">
      <selection activeCell="E83" sqref="E83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59"/>
      <c r="B1" s="60" t="s">
        <v>154</v>
      </c>
      <c r="C1" s="59"/>
      <c r="D1" s="59"/>
      <c r="E1" s="59"/>
    </row>
    <row r="2" spans="1:5" ht="30" x14ac:dyDescent="0.25">
      <c r="A2" s="61"/>
      <c r="B2" s="62" t="s">
        <v>149</v>
      </c>
      <c r="C2" s="63"/>
      <c r="D2" s="63"/>
      <c r="E2" s="64"/>
    </row>
    <row r="3" spans="1:5" x14ac:dyDescent="0.25">
      <c r="A3" s="65"/>
      <c r="B3" s="66" t="s">
        <v>48</v>
      </c>
      <c r="C3" s="66"/>
      <c r="D3" s="66"/>
      <c r="E3" s="67"/>
    </row>
    <row r="4" spans="1:5" ht="15" customHeight="1" x14ac:dyDescent="0.25">
      <c r="A4" s="65"/>
      <c r="B4" s="66" t="s">
        <v>178</v>
      </c>
      <c r="C4" s="66" t="s">
        <v>177</v>
      </c>
      <c r="D4" s="66"/>
      <c r="E4" s="67"/>
    </row>
    <row r="5" spans="1:5" ht="15" customHeight="1" thickBot="1" x14ac:dyDescent="0.3">
      <c r="A5" s="65"/>
      <c r="B5" s="66" t="s">
        <v>179</v>
      </c>
      <c r="C5" s="66"/>
      <c r="D5" s="66"/>
      <c r="E5" s="67"/>
    </row>
    <row r="6" spans="1:5" ht="15.75" thickBot="1" x14ac:dyDescent="0.3">
      <c r="A6" s="68" t="s">
        <v>0</v>
      </c>
      <c r="B6" s="69" t="s">
        <v>189</v>
      </c>
      <c r="C6" s="69"/>
      <c r="D6" s="69" t="s">
        <v>145</v>
      </c>
      <c r="E6" s="70"/>
    </row>
    <row r="7" spans="1:5" ht="15.75" thickBot="1" x14ac:dyDescent="0.3">
      <c r="A7" s="65"/>
      <c r="B7" s="66"/>
      <c r="C7" s="66"/>
      <c r="D7" s="66"/>
      <c r="E7" s="67"/>
    </row>
    <row r="8" spans="1:5" ht="15.75" thickBot="1" x14ac:dyDescent="0.3">
      <c r="A8" s="68" t="s">
        <v>47</v>
      </c>
      <c r="B8" s="69"/>
      <c r="C8" s="69"/>
      <c r="D8" s="69"/>
      <c r="E8" s="70"/>
    </row>
    <row r="9" spans="1:5" x14ac:dyDescent="0.25">
      <c r="A9" s="71"/>
      <c r="B9" s="71"/>
      <c r="C9" s="71"/>
      <c r="D9" s="71"/>
      <c r="E9" s="71"/>
    </row>
    <row r="10" spans="1:5" hidden="1" x14ac:dyDescent="0.25">
      <c r="A10" s="71"/>
      <c r="B10" s="71"/>
      <c r="C10" s="71"/>
      <c r="D10" s="71"/>
      <c r="E10" s="71"/>
    </row>
    <row r="11" spans="1:5" hidden="1" x14ac:dyDescent="0.25">
      <c r="A11" s="71"/>
      <c r="B11" s="71"/>
      <c r="C11" s="71"/>
      <c r="D11" s="71"/>
      <c r="E11" s="71"/>
    </row>
    <row r="12" spans="1:5" hidden="1" x14ac:dyDescent="0.25">
      <c r="A12" s="71"/>
      <c r="B12" s="71"/>
      <c r="C12" s="71"/>
      <c r="D12" s="71"/>
      <c r="E12" s="71"/>
    </row>
    <row r="13" spans="1:5" hidden="1" x14ac:dyDescent="0.25">
      <c r="A13" s="71"/>
      <c r="B13" s="71"/>
      <c r="C13" s="71"/>
      <c r="D13" s="71"/>
      <c r="E13" s="71"/>
    </row>
    <row r="14" spans="1:5" x14ac:dyDescent="0.25">
      <c r="A14" s="71"/>
      <c r="B14" s="71"/>
      <c r="C14" s="71"/>
      <c r="D14" s="71"/>
      <c r="E14" s="71"/>
    </row>
    <row r="15" spans="1:5" ht="15" customHeight="1" x14ac:dyDescent="0.25">
      <c r="A15" s="147" t="s">
        <v>188</v>
      </c>
      <c r="B15" s="147"/>
      <c r="C15" s="147"/>
      <c r="D15" s="147"/>
      <c r="E15" s="147"/>
    </row>
    <row r="16" spans="1:5" ht="15" customHeight="1" x14ac:dyDescent="0.25">
      <c r="A16" s="147"/>
      <c r="B16" s="147"/>
      <c r="C16" s="147"/>
      <c r="D16" s="147"/>
      <c r="E16" s="147"/>
    </row>
    <row r="17" spans="1:5" ht="15" customHeight="1" x14ac:dyDescent="0.25">
      <c r="A17" s="147"/>
      <c r="B17" s="147"/>
      <c r="C17" s="147"/>
      <c r="D17" s="147"/>
      <c r="E17" s="147"/>
    </row>
    <row r="18" spans="1:5" ht="15" customHeight="1" x14ac:dyDescent="0.25">
      <c r="A18" s="147"/>
      <c r="B18" s="147"/>
      <c r="C18" s="147"/>
      <c r="D18" s="147"/>
      <c r="E18" s="147"/>
    </row>
    <row r="19" spans="1:5" ht="14.25" customHeight="1" x14ac:dyDescent="0.25">
      <c r="A19" s="71"/>
      <c r="B19" s="71"/>
      <c r="C19" s="71"/>
      <c r="D19" s="71"/>
      <c r="E19" s="71"/>
    </row>
    <row r="20" spans="1:5" hidden="1" x14ac:dyDescent="0.25">
      <c r="A20" s="71"/>
      <c r="B20" s="71"/>
      <c r="C20" s="71"/>
      <c r="D20" s="71"/>
      <c r="E20" s="71"/>
    </row>
    <row r="21" spans="1:5" ht="12" customHeight="1" x14ac:dyDescent="0.25">
      <c r="A21" s="71"/>
      <c r="B21" s="71"/>
      <c r="C21" s="71"/>
      <c r="D21" s="71"/>
      <c r="E21" s="71"/>
    </row>
    <row r="22" spans="1:5" ht="0.75" hidden="1" customHeight="1" x14ac:dyDescent="0.25">
      <c r="A22" s="148"/>
      <c r="B22" s="149"/>
      <c r="C22" s="149"/>
      <c r="D22" s="149"/>
      <c r="E22" s="149"/>
    </row>
    <row r="23" spans="1:5" hidden="1" x14ac:dyDescent="0.25">
      <c r="A23" s="149"/>
      <c r="B23" s="149"/>
      <c r="C23" s="149"/>
      <c r="D23" s="149"/>
      <c r="E23" s="149"/>
    </row>
    <row r="24" spans="1:5" hidden="1" x14ac:dyDescent="0.25">
      <c r="A24" s="149"/>
      <c r="B24" s="149"/>
      <c r="C24" s="149"/>
      <c r="D24" s="149"/>
      <c r="E24" s="149"/>
    </row>
    <row r="25" spans="1:5" hidden="1" x14ac:dyDescent="0.25">
      <c r="A25" s="149"/>
      <c r="B25" s="149"/>
      <c r="C25" s="149"/>
      <c r="D25" s="149"/>
      <c r="E25" s="149"/>
    </row>
    <row r="26" spans="1:5" hidden="1" x14ac:dyDescent="0.25">
      <c r="A26" s="149"/>
      <c r="B26" s="149"/>
      <c r="C26" s="149"/>
      <c r="D26" s="149"/>
      <c r="E26" s="149"/>
    </row>
    <row r="27" spans="1:5" ht="15.75" thickBot="1" x14ac:dyDescent="0.3">
      <c r="A27" s="71"/>
      <c r="B27" s="71"/>
      <c r="C27" s="71"/>
      <c r="D27" s="71"/>
      <c r="E27" s="71"/>
    </row>
    <row r="28" spans="1:5" x14ac:dyDescent="0.25">
      <c r="A28" s="72" t="s">
        <v>34</v>
      </c>
      <c r="B28" s="73"/>
      <c r="C28" s="74"/>
      <c r="D28" s="75"/>
      <c r="E28" s="76"/>
    </row>
    <row r="29" spans="1:5" x14ac:dyDescent="0.25">
      <c r="A29" s="19" t="s">
        <v>118</v>
      </c>
      <c r="B29" s="19"/>
      <c r="C29" s="19"/>
      <c r="D29" s="19"/>
      <c r="E29" s="19"/>
    </row>
    <row r="30" spans="1:5" x14ac:dyDescent="0.25">
      <c r="A30" s="77" t="s">
        <v>112</v>
      </c>
      <c r="B30" s="78" t="s">
        <v>127</v>
      </c>
      <c r="C30" s="78" t="s">
        <v>195</v>
      </c>
      <c r="D30" s="79">
        <v>1612833.26</v>
      </c>
      <c r="E30" s="78"/>
    </row>
    <row r="31" spans="1:5" x14ac:dyDescent="0.25">
      <c r="A31" s="77"/>
      <c r="B31" s="78" t="s">
        <v>113</v>
      </c>
      <c r="C31" s="78"/>
      <c r="D31" s="79">
        <v>-350791.24</v>
      </c>
      <c r="E31" s="78"/>
    </row>
    <row r="32" spans="1:5" x14ac:dyDescent="0.25">
      <c r="A32" s="77"/>
      <c r="B32" s="78" t="s">
        <v>146</v>
      </c>
      <c r="C32" s="78"/>
      <c r="D32" s="79">
        <v>0.98</v>
      </c>
      <c r="E32" s="78"/>
    </row>
    <row r="33" spans="1:7" hidden="1" x14ac:dyDescent="0.25">
      <c r="A33" s="77"/>
      <c r="B33" s="78"/>
      <c r="C33" s="78"/>
      <c r="D33" s="80"/>
      <c r="E33" s="78"/>
    </row>
    <row r="34" spans="1:7" hidden="1" x14ac:dyDescent="0.25">
      <c r="A34" s="78"/>
      <c r="B34" s="78"/>
      <c r="C34" s="78"/>
      <c r="D34" s="80"/>
      <c r="E34" s="78"/>
    </row>
    <row r="35" spans="1:7" hidden="1" x14ac:dyDescent="0.25">
      <c r="A35" s="78"/>
      <c r="B35" s="78"/>
      <c r="C35" s="78"/>
      <c r="D35" s="81"/>
      <c r="E35" s="78"/>
    </row>
    <row r="36" spans="1:7" hidden="1" x14ac:dyDescent="0.25">
      <c r="A36" s="78"/>
      <c r="B36" s="78"/>
      <c r="C36" s="78"/>
      <c r="D36" s="81"/>
      <c r="E36" s="78"/>
    </row>
    <row r="37" spans="1:7" ht="15.75" thickBot="1" x14ac:dyDescent="0.3">
      <c r="A37" s="20" t="s">
        <v>1</v>
      </c>
      <c r="B37" s="38"/>
      <c r="C37" s="38"/>
      <c r="D37" s="82"/>
      <c r="E37" s="83">
        <f>SUM(D27:D34)</f>
        <v>1262043</v>
      </c>
    </row>
    <row r="38" spans="1:7" hidden="1" x14ac:dyDescent="0.25">
      <c r="A38" s="78" t="s">
        <v>157</v>
      </c>
      <c r="B38" s="78"/>
      <c r="C38" s="78"/>
      <c r="D38" s="79"/>
      <c r="E38" s="78"/>
      <c r="G38">
        <v>235611</v>
      </c>
    </row>
    <row r="39" spans="1:7" hidden="1" x14ac:dyDescent="0.25">
      <c r="A39" s="78" t="s">
        <v>156</v>
      </c>
      <c r="B39" s="78"/>
      <c r="C39" s="78"/>
      <c r="D39" s="79"/>
      <c r="E39" s="78"/>
      <c r="G39" s="5">
        <f>E37+E41-G38</f>
        <v>1026432</v>
      </c>
    </row>
    <row r="40" spans="1:7" hidden="1" x14ac:dyDescent="0.25">
      <c r="A40" s="78" t="s">
        <v>146</v>
      </c>
      <c r="B40" s="78"/>
      <c r="C40" s="78"/>
      <c r="D40" s="84"/>
      <c r="E40" s="78"/>
    </row>
    <row r="41" spans="1:7" ht="15.75" hidden="1" thickBot="1" x14ac:dyDescent="0.3">
      <c r="A41" s="20" t="s">
        <v>155</v>
      </c>
      <c r="B41" s="20"/>
      <c r="C41" s="20"/>
      <c r="D41" s="37"/>
      <c r="E41" s="83">
        <f>SUM(D38:D40)</f>
        <v>0</v>
      </c>
      <c r="F41" s="5"/>
    </row>
    <row r="42" spans="1:7" x14ac:dyDescent="0.25">
      <c r="A42" s="19" t="s">
        <v>141</v>
      </c>
      <c r="B42" s="19"/>
      <c r="C42" s="19"/>
      <c r="D42" s="21"/>
      <c r="E42" s="85"/>
    </row>
    <row r="43" spans="1:7" x14ac:dyDescent="0.25">
      <c r="A43" s="78" t="s">
        <v>142</v>
      </c>
      <c r="B43" s="78" t="s">
        <v>190</v>
      </c>
      <c r="C43" s="78"/>
      <c r="D43" s="79">
        <v>28000</v>
      </c>
      <c r="E43" s="86"/>
    </row>
    <row r="44" spans="1:7" x14ac:dyDescent="0.25">
      <c r="A44" s="78" t="s">
        <v>143</v>
      </c>
      <c r="B44" s="78" t="s">
        <v>190</v>
      </c>
      <c r="C44" s="78"/>
      <c r="D44" s="79">
        <v>112000</v>
      </c>
      <c r="E44" s="86"/>
      <c r="G44" t="s">
        <v>185</v>
      </c>
    </row>
    <row r="45" spans="1:7" ht="15.75" thickBot="1" x14ac:dyDescent="0.3">
      <c r="A45" s="78"/>
      <c r="B45" s="78"/>
      <c r="C45" s="78"/>
      <c r="D45" s="17"/>
      <c r="E45" s="86"/>
    </row>
    <row r="46" spans="1:7" ht="15.75" thickBot="1" x14ac:dyDescent="0.3">
      <c r="A46" s="20" t="s">
        <v>114</v>
      </c>
      <c r="B46" s="20"/>
      <c r="C46" s="20"/>
      <c r="D46" s="25"/>
      <c r="E46" s="87">
        <f>SUM(D43:D44)</f>
        <v>140000</v>
      </c>
    </row>
    <row r="47" spans="1:7" x14ac:dyDescent="0.25">
      <c r="A47" s="19" t="s">
        <v>2</v>
      </c>
      <c r="B47" s="20"/>
      <c r="C47" s="20"/>
      <c r="D47" s="22"/>
      <c r="E47" s="22"/>
    </row>
    <row r="48" spans="1:7" x14ac:dyDescent="0.25">
      <c r="A48" s="77" t="s">
        <v>128</v>
      </c>
      <c r="B48" s="78"/>
      <c r="C48" s="78" t="s">
        <v>198</v>
      </c>
      <c r="D48" s="17">
        <v>25842</v>
      </c>
      <c r="E48" s="24"/>
    </row>
    <row r="49" spans="1:5" ht="15.75" thickBot="1" x14ac:dyDescent="0.3">
      <c r="A49" s="77"/>
      <c r="B49" s="78"/>
      <c r="C49" s="78"/>
      <c r="D49" s="17"/>
      <c r="E49" s="88"/>
    </row>
    <row r="50" spans="1:5" ht="15.75" thickBot="1" x14ac:dyDescent="0.3">
      <c r="A50" s="20" t="s">
        <v>3</v>
      </c>
      <c r="B50" s="20"/>
      <c r="C50" s="20"/>
      <c r="D50" s="25"/>
      <c r="E50" s="89">
        <f>SUM(D48)</f>
        <v>25842</v>
      </c>
    </row>
    <row r="51" spans="1:5" x14ac:dyDescent="0.25">
      <c r="A51" s="19" t="s">
        <v>115</v>
      </c>
      <c r="B51" s="38"/>
      <c r="C51" s="38"/>
      <c r="D51" s="26"/>
      <c r="E51" s="90"/>
    </row>
    <row r="52" spans="1:5" x14ac:dyDescent="0.25">
      <c r="A52" s="78" t="s">
        <v>196</v>
      </c>
      <c r="B52" s="78"/>
      <c r="C52" s="78" t="s">
        <v>200</v>
      </c>
      <c r="D52" s="17">
        <v>751741.52</v>
      </c>
      <c r="E52" s="24"/>
    </row>
    <row r="53" spans="1:5" x14ac:dyDescent="0.25">
      <c r="A53" s="78" t="s">
        <v>191</v>
      </c>
      <c r="B53" s="78" t="s">
        <v>131</v>
      </c>
      <c r="C53" s="78" t="s">
        <v>199</v>
      </c>
      <c r="D53" s="24">
        <v>72577.5</v>
      </c>
      <c r="E53" s="24"/>
    </row>
    <row r="54" spans="1:5" x14ac:dyDescent="0.25">
      <c r="A54" s="78" t="str">
        <f>A53</f>
        <v>Sindicatos periodo JUNIO</v>
      </c>
      <c r="B54" s="78" t="s">
        <v>129</v>
      </c>
      <c r="C54" s="78" t="str">
        <f>C53</f>
        <v>Debito 12/06</v>
      </c>
      <c r="D54" s="17">
        <v>128834.16</v>
      </c>
      <c r="E54" s="24"/>
    </row>
    <row r="55" spans="1:5" x14ac:dyDescent="0.25">
      <c r="A55" s="78" t="str">
        <f>A54</f>
        <v>Sindicatos periodo JUNIO</v>
      </c>
      <c r="B55" s="78" t="s">
        <v>130</v>
      </c>
      <c r="C55" s="78" t="str">
        <f>C54</f>
        <v>Debito 12/06</v>
      </c>
      <c r="D55" s="17">
        <v>8064.17</v>
      </c>
      <c r="E55" s="88"/>
    </row>
    <row r="56" spans="1:5" x14ac:dyDescent="0.25">
      <c r="A56" s="78"/>
      <c r="B56" s="78"/>
      <c r="C56" s="78"/>
      <c r="D56" s="17"/>
      <c r="E56" s="24"/>
    </row>
    <row r="57" spans="1:5" ht="15" customHeight="1" thickBot="1" x14ac:dyDescent="0.3">
      <c r="A57" s="20" t="s">
        <v>4</v>
      </c>
      <c r="B57" s="38"/>
      <c r="C57" s="38"/>
      <c r="D57" s="27"/>
      <c r="E57" s="91">
        <f>SUM(D52:D56)</f>
        <v>961217.35000000009</v>
      </c>
    </row>
    <row r="58" spans="1:5" x14ac:dyDescent="0.25">
      <c r="A58" s="19" t="s">
        <v>117</v>
      </c>
      <c r="B58" s="38"/>
      <c r="C58" s="38"/>
      <c r="D58" s="26"/>
      <c r="E58" s="90"/>
    </row>
    <row r="59" spans="1:5" ht="14.25" customHeight="1" x14ac:dyDescent="0.25">
      <c r="A59" s="78" t="s">
        <v>192</v>
      </c>
      <c r="B59" s="92"/>
      <c r="C59" s="78"/>
      <c r="D59" s="17">
        <v>472527.71</v>
      </c>
      <c r="E59" s="24"/>
    </row>
    <row r="60" spans="1:5" x14ac:dyDescent="0.25">
      <c r="A60" s="92" t="s">
        <v>180</v>
      </c>
      <c r="B60" s="92"/>
      <c r="C60" s="78"/>
      <c r="D60" s="17">
        <v>53800</v>
      </c>
      <c r="E60" s="17"/>
    </row>
    <row r="61" spans="1:5" ht="14.25" customHeight="1" x14ac:dyDescent="0.25">
      <c r="A61" s="78" t="s">
        <v>125</v>
      </c>
      <c r="B61" s="93"/>
      <c r="C61" s="94"/>
      <c r="D61" s="17">
        <v>0</v>
      </c>
      <c r="E61" s="24"/>
    </row>
    <row r="62" spans="1:5" x14ac:dyDescent="0.25">
      <c r="A62" s="78" t="s">
        <v>193</v>
      </c>
      <c r="B62" s="78"/>
      <c r="C62" s="94"/>
      <c r="D62" s="17">
        <v>55000</v>
      </c>
      <c r="E62" s="24"/>
    </row>
    <row r="63" spans="1:5" x14ac:dyDescent="0.25">
      <c r="A63" s="78" t="s">
        <v>151</v>
      </c>
      <c r="B63" s="78"/>
      <c r="C63" s="78"/>
      <c r="D63" s="17">
        <v>15389.22</v>
      </c>
      <c r="E63" s="24"/>
    </row>
    <row r="64" spans="1:5" x14ac:dyDescent="0.25">
      <c r="A64" s="78" t="s">
        <v>197</v>
      </c>
      <c r="B64" s="78"/>
      <c r="C64" s="78"/>
      <c r="D64" s="17">
        <v>189273.33</v>
      </c>
      <c r="E64" s="24"/>
    </row>
    <row r="65" spans="1:5" x14ac:dyDescent="0.25">
      <c r="A65" s="78" t="s">
        <v>119</v>
      </c>
      <c r="B65" s="78"/>
      <c r="C65" s="78"/>
      <c r="D65" s="17">
        <v>7181.14</v>
      </c>
      <c r="E65" s="24"/>
    </row>
    <row r="66" spans="1:5" x14ac:dyDescent="0.25">
      <c r="A66" s="78" t="s">
        <v>126</v>
      </c>
      <c r="B66" s="78"/>
      <c r="C66" s="78"/>
      <c r="D66" s="145">
        <v>101821.18</v>
      </c>
      <c r="E66" s="143"/>
    </row>
    <row r="67" spans="1:5" x14ac:dyDescent="0.25">
      <c r="A67" s="78" t="s">
        <v>194</v>
      </c>
      <c r="B67" s="78"/>
      <c r="C67" s="78"/>
      <c r="D67" s="17">
        <v>16245.66</v>
      </c>
      <c r="E67" s="24"/>
    </row>
    <row r="68" spans="1:5" ht="15.75" thickBot="1" x14ac:dyDescent="0.3">
      <c r="A68" s="78"/>
      <c r="B68" s="95"/>
      <c r="C68" s="96"/>
      <c r="D68" s="17"/>
      <c r="E68" s="88"/>
    </row>
    <row r="69" spans="1:5" ht="15.75" thickBot="1" x14ac:dyDescent="0.3">
      <c r="A69" s="20" t="s">
        <v>5</v>
      </c>
      <c r="B69" s="20"/>
      <c r="C69" s="20"/>
      <c r="D69" s="25"/>
      <c r="E69" s="89">
        <f>SUM(D59:D68)</f>
        <v>911238.23999999987</v>
      </c>
    </row>
    <row r="70" spans="1:5" ht="15.75" thickBot="1" x14ac:dyDescent="0.3">
      <c r="A70" s="19" t="s">
        <v>116</v>
      </c>
      <c r="B70" s="20"/>
      <c r="C70" s="20"/>
      <c r="D70" s="25"/>
      <c r="E70" s="89"/>
    </row>
    <row r="71" spans="1:5" x14ac:dyDescent="0.25">
      <c r="A71" s="78" t="s">
        <v>162</v>
      </c>
      <c r="B71" s="78"/>
      <c r="C71" s="78"/>
      <c r="D71" s="17">
        <v>44595</v>
      </c>
      <c r="E71" s="86"/>
    </row>
    <row r="72" spans="1:5" x14ac:dyDescent="0.25">
      <c r="A72" s="78" t="s">
        <v>181</v>
      </c>
      <c r="B72" s="78"/>
      <c r="C72" s="78"/>
      <c r="D72" s="17">
        <v>52084.53</v>
      </c>
      <c r="E72" s="24"/>
    </row>
    <row r="73" spans="1:5" x14ac:dyDescent="0.25">
      <c r="A73" s="78" t="s">
        <v>150</v>
      </c>
      <c r="B73" s="78"/>
      <c r="C73" s="78"/>
      <c r="D73" s="24">
        <v>2350</v>
      </c>
      <c r="E73" s="24"/>
    </row>
    <row r="74" spans="1:5" x14ac:dyDescent="0.25">
      <c r="A74" s="78"/>
      <c r="B74" s="78"/>
      <c r="C74" s="78"/>
      <c r="D74" s="24"/>
      <c r="E74" s="17"/>
    </row>
    <row r="75" spans="1:5" ht="15.75" thickBot="1" x14ac:dyDescent="0.3">
      <c r="A75" s="20" t="s">
        <v>16</v>
      </c>
      <c r="B75" s="19"/>
      <c r="C75" s="19"/>
      <c r="D75" s="19"/>
      <c r="E75" s="97">
        <f>SUM(D71:D74)</f>
        <v>99029.53</v>
      </c>
    </row>
    <row r="76" spans="1:5" ht="15.75" thickBot="1" x14ac:dyDescent="0.3">
      <c r="A76" s="19" t="s">
        <v>38</v>
      </c>
      <c r="B76" s="20"/>
      <c r="C76" s="20"/>
      <c r="D76" s="12"/>
      <c r="E76" s="89"/>
    </row>
    <row r="77" spans="1:5" x14ac:dyDescent="0.25">
      <c r="A77" s="78" t="s">
        <v>38</v>
      </c>
      <c r="B77" s="78"/>
      <c r="C77" s="78"/>
      <c r="D77" s="17">
        <f>55821.88+14500</f>
        <v>70321.88</v>
      </c>
      <c r="E77" s="98"/>
    </row>
    <row r="78" spans="1:5" ht="15.75" thickBot="1" x14ac:dyDescent="0.3">
      <c r="A78" s="77"/>
      <c r="B78" s="78"/>
      <c r="C78" s="78"/>
      <c r="D78" s="17"/>
      <c r="E78" s="99"/>
    </row>
    <row r="79" spans="1:5" ht="15.75" thickBot="1" x14ac:dyDescent="0.3">
      <c r="A79" s="20" t="s">
        <v>114</v>
      </c>
      <c r="B79" s="20"/>
      <c r="C79" s="20"/>
      <c r="D79" s="12"/>
      <c r="E79" s="89">
        <f>SUM(D77:D78)</f>
        <v>70321.88</v>
      </c>
    </row>
    <row r="80" spans="1:5" ht="15.75" thickBot="1" x14ac:dyDescent="0.3">
      <c r="A80" s="78"/>
      <c r="B80" s="78"/>
      <c r="C80" s="78"/>
      <c r="D80" s="78"/>
      <c r="E80" s="100"/>
    </row>
    <row r="81" spans="1:7" ht="15.75" thickBot="1" x14ac:dyDescent="0.3">
      <c r="A81" s="101" t="s">
        <v>201</v>
      </c>
      <c r="B81" s="101"/>
      <c r="C81" s="101"/>
      <c r="D81" s="102"/>
      <c r="E81" s="103">
        <v>4000000</v>
      </c>
    </row>
    <row r="82" spans="1:7" ht="15.75" thickBot="1" x14ac:dyDescent="0.3">
      <c r="A82" s="104"/>
      <c r="B82" s="71"/>
      <c r="C82" s="71"/>
      <c r="D82" s="71"/>
      <c r="E82" s="105"/>
      <c r="F82" s="31"/>
    </row>
    <row r="83" spans="1:7" ht="15.75" thickBot="1" x14ac:dyDescent="0.3">
      <c r="A83" s="106" t="s">
        <v>39</v>
      </c>
      <c r="B83" s="107"/>
      <c r="C83" s="108"/>
      <c r="D83" s="108"/>
      <c r="E83" s="109">
        <f>(SUM(E30:E81))</f>
        <v>7469692</v>
      </c>
      <c r="F83" s="31"/>
      <c r="G83" s="31"/>
    </row>
    <row r="84" spans="1:7" x14ac:dyDescent="0.25">
      <c r="A84" s="71"/>
      <c r="B84" s="71"/>
      <c r="C84" s="71"/>
      <c r="D84" s="71"/>
      <c r="E84" s="71"/>
    </row>
    <row r="85" spans="1:7" ht="15.75" thickBot="1" x14ac:dyDescent="0.3">
      <c r="A85" s="71"/>
      <c r="B85" s="71"/>
      <c r="C85" s="71"/>
      <c r="D85" s="71"/>
      <c r="E85" s="71"/>
      <c r="F85" s="31"/>
    </row>
    <row r="86" spans="1:7" x14ac:dyDescent="0.25">
      <c r="A86" s="158" t="s">
        <v>158</v>
      </c>
      <c r="B86" s="159"/>
      <c r="C86" s="110"/>
      <c r="D86" s="71"/>
      <c r="E86" s="71"/>
    </row>
    <row r="87" spans="1:7" ht="15" customHeight="1" x14ac:dyDescent="0.25">
      <c r="A87" s="150"/>
      <c r="B87" s="151"/>
      <c r="C87" s="17"/>
      <c r="D87" s="71"/>
      <c r="E87" s="71"/>
    </row>
    <row r="88" spans="1:7" x14ac:dyDescent="0.25">
      <c r="A88" s="152"/>
      <c r="B88" s="153"/>
      <c r="C88" s="17"/>
      <c r="D88" s="71"/>
      <c r="E88" s="71"/>
    </row>
    <row r="89" spans="1:7" x14ac:dyDescent="0.25">
      <c r="A89" s="154"/>
      <c r="B89" s="155"/>
      <c r="C89" s="111"/>
      <c r="D89" s="71"/>
      <c r="E89" s="112"/>
    </row>
    <row r="90" spans="1:7" ht="15.75" thickBot="1" x14ac:dyDescent="0.3">
      <c r="A90" s="156" t="s">
        <v>16</v>
      </c>
      <c r="B90" s="157"/>
      <c r="C90" s="113">
        <f>SUM(C87:C89)</f>
        <v>0</v>
      </c>
      <c r="D90" s="71"/>
      <c r="E90" s="71"/>
    </row>
    <row r="91" spans="1:7" x14ac:dyDescent="0.25">
      <c r="A91" s="71"/>
      <c r="B91" s="71"/>
      <c r="C91" s="71"/>
      <c r="D91" s="71"/>
      <c r="E91" s="71"/>
    </row>
    <row r="92" spans="1:7" x14ac:dyDescent="0.25">
      <c r="A92" s="114" t="s">
        <v>163</v>
      </c>
      <c r="B92" s="114"/>
      <c r="C92" s="115"/>
      <c r="D92" s="116"/>
      <c r="E92" s="71"/>
    </row>
    <row r="93" spans="1:7" ht="15.75" thickBot="1" x14ac:dyDescent="0.3">
      <c r="A93" s="71"/>
      <c r="B93" s="71"/>
      <c r="C93" s="71"/>
      <c r="D93" s="71"/>
      <c r="E93" s="71"/>
    </row>
    <row r="94" spans="1:7" ht="15.75" thickBot="1" x14ac:dyDescent="0.3">
      <c r="A94" s="117" t="s">
        <v>40</v>
      </c>
      <c r="B94" s="118">
        <f>E83</f>
        <v>7469692</v>
      </c>
      <c r="C94" s="71"/>
      <c r="D94" s="71"/>
      <c r="E94" s="112"/>
    </row>
    <row r="95" spans="1:7" x14ac:dyDescent="0.25">
      <c r="A95" s="119" t="s">
        <v>41</v>
      </c>
      <c r="B95" s="120">
        <f>E83-E81</f>
        <v>3469692</v>
      </c>
      <c r="C95" s="71"/>
      <c r="D95" s="71"/>
      <c r="E95" s="71"/>
    </row>
    <row r="96" spans="1:7" x14ac:dyDescent="0.25">
      <c r="A96" s="121" t="s">
        <v>160</v>
      </c>
      <c r="B96" s="122">
        <f>C90+C92</f>
        <v>0</v>
      </c>
      <c r="C96" s="71"/>
      <c r="D96" s="71"/>
      <c r="E96" s="71"/>
    </row>
    <row r="97" spans="1:5" x14ac:dyDescent="0.25">
      <c r="A97" s="121" t="s">
        <v>159</v>
      </c>
      <c r="B97" s="122">
        <f>C90</f>
        <v>0</v>
      </c>
      <c r="C97" s="71"/>
      <c r="D97" s="71"/>
      <c r="E97" s="71"/>
    </row>
    <row r="98" spans="1:5" x14ac:dyDescent="0.25">
      <c r="A98" s="121" t="s">
        <v>161</v>
      </c>
      <c r="B98" s="122">
        <f>B95+B97</f>
        <v>3469692</v>
      </c>
      <c r="C98" s="71"/>
      <c r="D98" s="71"/>
      <c r="E98" s="71"/>
    </row>
    <row r="99" spans="1:5" x14ac:dyDescent="0.25">
      <c r="A99" s="71"/>
      <c r="B99" s="71"/>
      <c r="C99" s="71"/>
      <c r="D99" s="71"/>
      <c r="E99" s="71"/>
    </row>
    <row r="100" spans="1:5" hidden="1" x14ac:dyDescent="0.25">
      <c r="A100" s="149"/>
      <c r="B100" s="149"/>
      <c r="C100" s="149"/>
      <c r="D100" s="71"/>
      <c r="E100" s="71"/>
    </row>
    <row r="101" spans="1:5" ht="35.25" hidden="1" customHeight="1" x14ac:dyDescent="0.25">
      <c r="A101" s="149"/>
      <c r="B101" s="149"/>
      <c r="C101" s="149"/>
      <c r="D101" s="71"/>
      <c r="E101" s="71"/>
    </row>
    <row r="102" spans="1:5" x14ac:dyDescent="0.25">
      <c r="A102" s="71"/>
      <c r="B102" s="71"/>
      <c r="C102" s="71"/>
      <c r="D102" s="71"/>
      <c r="E102" s="71"/>
    </row>
    <row r="103" spans="1:5" x14ac:dyDescent="0.25">
      <c r="A103" s="123" t="s">
        <v>176</v>
      </c>
      <c r="B103" s="124"/>
      <c r="C103" s="125"/>
      <c r="D103" s="71"/>
      <c r="E103" s="71"/>
    </row>
    <row r="104" spans="1:5" x14ac:dyDescent="0.25">
      <c r="A104" s="16" t="s">
        <v>42</v>
      </c>
      <c r="B104" s="124">
        <v>242274.94714675145</v>
      </c>
      <c r="C104" s="126"/>
      <c r="D104" s="71"/>
      <c r="E104" s="71"/>
    </row>
    <row r="105" spans="1:5" ht="13.5" customHeight="1" x14ac:dyDescent="0.25">
      <c r="A105" s="127" t="s">
        <v>44</v>
      </c>
      <c r="B105" s="128">
        <f>PRORRATEO!I44</f>
        <v>3413182.0317890993</v>
      </c>
      <c r="C105" s="125"/>
      <c r="D105" s="112"/>
      <c r="E105" s="71"/>
    </row>
    <row r="106" spans="1:5" ht="18" customHeight="1" x14ac:dyDescent="0.25">
      <c r="A106" s="129" t="s">
        <v>43</v>
      </c>
      <c r="B106" s="142">
        <f>-(B98+B114)</f>
        <v>-3119731</v>
      </c>
      <c r="C106" s="125"/>
      <c r="D106" s="71"/>
      <c r="E106" s="71"/>
    </row>
    <row r="107" spans="1:5" x14ac:dyDescent="0.25">
      <c r="A107" s="130" t="s">
        <v>16</v>
      </c>
      <c r="B107" s="42">
        <f>SUM(B104:B106)</f>
        <v>535725.97893585078</v>
      </c>
      <c r="C107" s="131"/>
      <c r="D107" s="112"/>
      <c r="E107" s="71"/>
    </row>
    <row r="108" spans="1:5" x14ac:dyDescent="0.25">
      <c r="A108" s="71"/>
      <c r="B108" s="132"/>
      <c r="C108" s="131"/>
      <c r="D108" s="71"/>
      <c r="E108" s="71"/>
    </row>
    <row r="109" spans="1:5" x14ac:dyDescent="0.25">
      <c r="A109" s="71"/>
      <c r="B109" s="133"/>
      <c r="C109" s="131"/>
      <c r="D109" s="71"/>
      <c r="E109" s="71"/>
    </row>
    <row r="110" spans="1:5" s="28" customFormat="1" ht="27" customHeight="1" x14ac:dyDescent="0.25">
      <c r="A110" s="71"/>
      <c r="B110" s="132"/>
      <c r="C110" s="134"/>
      <c r="D110" s="135"/>
      <c r="E110" s="135"/>
    </row>
    <row r="111" spans="1:5" s="28" customFormat="1" ht="27" customHeight="1" x14ac:dyDescent="0.25">
      <c r="A111" s="136" t="s">
        <v>45</v>
      </c>
      <c r="B111" s="24"/>
      <c r="C111" s="134"/>
      <c r="D111" s="135"/>
      <c r="E111" s="137"/>
    </row>
    <row r="112" spans="1:5" s="28" customFormat="1" ht="15.75" customHeight="1" x14ac:dyDescent="0.25">
      <c r="A112" s="78" t="s">
        <v>42</v>
      </c>
      <c r="B112" s="24">
        <v>436123.85052585986</v>
      </c>
      <c r="C112" s="134"/>
      <c r="D112" s="137"/>
      <c r="E112" s="137"/>
    </row>
    <row r="113" spans="1:13" ht="14.25" customHeight="1" x14ac:dyDescent="0.25">
      <c r="A113" s="78" t="s">
        <v>35</v>
      </c>
      <c r="B113" s="24">
        <f>PRORRATEO!I45</f>
        <v>528808.55360800005</v>
      </c>
      <c r="C113" s="131"/>
      <c r="D113" s="112"/>
      <c r="E113" s="71"/>
    </row>
    <row r="114" spans="1:13" x14ac:dyDescent="0.25">
      <c r="A114" s="78" t="s">
        <v>43</v>
      </c>
      <c r="B114" s="41">
        <f>-(D44+D73+G38)</f>
        <v>-349961</v>
      </c>
      <c r="C114" s="131"/>
      <c r="D114" s="71"/>
      <c r="E114" s="71"/>
    </row>
    <row r="115" spans="1:13" x14ac:dyDescent="0.25">
      <c r="A115" s="78"/>
      <c r="B115" s="41"/>
      <c r="C115" s="131"/>
      <c r="D115" s="71"/>
      <c r="E115" s="71"/>
    </row>
    <row r="116" spans="1:13" ht="17.25" hidden="1" customHeight="1" x14ac:dyDescent="0.25">
      <c r="A116" s="141"/>
      <c r="B116" s="140"/>
      <c r="C116" s="138"/>
      <c r="D116" s="71"/>
      <c r="E116" s="71"/>
    </row>
    <row r="117" spans="1:13" ht="17.25" hidden="1" customHeight="1" x14ac:dyDescent="0.25">
      <c r="A117" s="141"/>
      <c r="B117" s="140"/>
      <c r="C117" s="138"/>
      <c r="D117" s="71"/>
      <c r="E117" s="71"/>
    </row>
    <row r="118" spans="1:13" x14ac:dyDescent="0.25">
      <c r="A118" s="136" t="s">
        <v>46</v>
      </c>
      <c r="B118" s="42">
        <f>SUM(B112:B117)</f>
        <v>614971.40413385991</v>
      </c>
      <c r="C118" s="125"/>
      <c r="D118" s="71"/>
      <c r="E118" s="71"/>
    </row>
    <row r="119" spans="1:13" x14ac:dyDescent="0.25">
      <c r="A119" s="71"/>
      <c r="B119" s="71"/>
      <c r="C119" s="71"/>
      <c r="D119" s="71"/>
      <c r="E119" s="71"/>
    </row>
    <row r="121" spans="1:13" x14ac:dyDescent="0.25">
      <c r="A121" s="146" t="s">
        <v>164</v>
      </c>
      <c r="B121" s="146"/>
      <c r="C121" s="146"/>
    </row>
    <row r="122" spans="1:13" x14ac:dyDescent="0.25">
      <c r="A122" s="146"/>
      <c r="B122" s="146"/>
      <c r="C122" s="146"/>
    </row>
    <row r="123" spans="1:13" x14ac:dyDescent="0.25">
      <c r="A123" s="1"/>
      <c r="B123" s="1"/>
      <c r="C123" s="23"/>
    </row>
    <row r="124" spans="1:13" x14ac:dyDescent="0.25">
      <c r="A124" s="32" t="s">
        <v>16</v>
      </c>
      <c r="B124" s="32"/>
      <c r="C124" s="33">
        <f>SUM(C123:C123)</f>
        <v>0</v>
      </c>
    </row>
    <row r="125" spans="1:13" x14ac:dyDescent="0.25">
      <c r="M125" s="4"/>
    </row>
  </sheetData>
  <mergeCells count="9">
    <mergeCell ref="A121:C122"/>
    <mergeCell ref="A15:E18"/>
    <mergeCell ref="A22:E26"/>
    <mergeCell ref="A87:B87"/>
    <mergeCell ref="A88:B88"/>
    <mergeCell ref="A89:B89"/>
    <mergeCell ref="A90:B90"/>
    <mergeCell ref="A86:B86"/>
    <mergeCell ref="A100:C10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abSelected="1" topLeftCell="C16" workbookViewId="0">
      <selection activeCell="Q29" sqref="Q29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3.5703125" bestFit="1" customWidth="1"/>
    <col min="8" max="8" width="12.42578125" customWidth="1"/>
    <col min="9" max="9" width="5.42578125" hidden="1" customWidth="1"/>
    <col min="10" max="10" width="10.7109375" customWidth="1"/>
    <col min="11" max="11" width="10.5703125" customWidth="1"/>
    <col min="12" max="12" width="13" customWidth="1"/>
    <col min="13" max="13" width="5" hidden="1" customWidth="1"/>
    <col min="14" max="14" width="14.7109375" customWidth="1"/>
    <col min="15" max="15" width="14.5703125" customWidth="1"/>
    <col min="17" max="17" width="13" bestFit="1" customWidth="1"/>
  </cols>
  <sheetData>
    <row r="1" spans="1:18" x14ac:dyDescent="0.25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9">
        <v>2902347.4099999997</v>
      </c>
      <c r="O2" s="39">
        <v>7469692</v>
      </c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69">
        <f>O2</f>
        <v>7469692</v>
      </c>
      <c r="O3" s="169"/>
      <c r="P3" s="5"/>
    </row>
    <row r="4" spans="1:18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111</v>
      </c>
      <c r="L4" s="2"/>
      <c r="M4" s="2"/>
      <c r="N4" s="168"/>
      <c r="O4" s="168"/>
    </row>
    <row r="5" spans="1:18" x14ac:dyDescent="0.25">
      <c r="A5" s="160" t="s">
        <v>8</v>
      </c>
      <c r="B5" s="162" t="s">
        <v>9</v>
      </c>
      <c r="C5" s="164" t="s">
        <v>10</v>
      </c>
      <c r="D5" s="164" t="s">
        <v>11</v>
      </c>
      <c r="E5" s="164" t="s">
        <v>132</v>
      </c>
      <c r="F5" s="160" t="s">
        <v>37</v>
      </c>
      <c r="G5" s="160" t="s">
        <v>12</v>
      </c>
      <c r="H5" s="160" t="s">
        <v>13</v>
      </c>
      <c r="I5" s="14"/>
      <c r="J5" s="172" t="s">
        <v>147</v>
      </c>
      <c r="K5" s="170" t="s">
        <v>14</v>
      </c>
      <c r="L5" s="170" t="s">
        <v>33</v>
      </c>
      <c r="M5" s="170" t="s">
        <v>15</v>
      </c>
      <c r="N5" s="170" t="s">
        <v>31</v>
      </c>
      <c r="O5" s="170" t="s">
        <v>32</v>
      </c>
    </row>
    <row r="6" spans="1:18" x14ac:dyDescent="0.25">
      <c r="A6" s="161"/>
      <c r="B6" s="163"/>
      <c r="C6" s="165"/>
      <c r="D6" s="165"/>
      <c r="E6" s="166"/>
      <c r="F6" s="161"/>
      <c r="G6" s="161"/>
      <c r="H6" s="161"/>
      <c r="I6" s="15"/>
      <c r="J6" s="173"/>
      <c r="K6" s="171"/>
      <c r="L6" s="174"/>
      <c r="M6" s="174"/>
      <c r="N6" s="174"/>
      <c r="O6" s="171"/>
    </row>
    <row r="7" spans="1:18" x14ac:dyDescent="0.25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121040.87763392553</v>
      </c>
      <c r="H7" s="29">
        <f>168983+27536-G39</f>
        <v>121040.50247600001</v>
      </c>
      <c r="I7" s="13" t="s">
        <v>123</v>
      </c>
      <c r="J7" s="7">
        <f>H7-G7</f>
        <v>-0.37515792551857885</v>
      </c>
      <c r="K7" s="40">
        <f>N$4*F7%</f>
        <v>0</v>
      </c>
      <c r="L7" s="6">
        <f>N$3*F7%</f>
        <v>196452.8996</v>
      </c>
      <c r="M7" s="23"/>
      <c r="N7" s="23">
        <f>L7+K7-J7+M7</f>
        <v>196453.27475792554</v>
      </c>
      <c r="O7" s="23">
        <f>N7*6% + N7</f>
        <v>208240.47124340106</v>
      </c>
    </row>
    <row r="8" spans="1:18" x14ac:dyDescent="0.25">
      <c r="A8" s="1" t="s">
        <v>18</v>
      </c>
      <c r="B8" s="1"/>
      <c r="C8" s="34" t="s">
        <v>49</v>
      </c>
      <c r="D8" s="34" t="s">
        <v>85</v>
      </c>
      <c r="E8" s="34" t="s">
        <v>133</v>
      </c>
      <c r="F8" s="1">
        <v>3.33</v>
      </c>
      <c r="G8" s="24">
        <v>371337.89496694924</v>
      </c>
      <c r="H8" s="29">
        <f>153258</f>
        <v>153258</v>
      </c>
      <c r="I8" s="13" t="s">
        <v>123</v>
      </c>
      <c r="J8" s="7">
        <f t="shared" ref="J8:J42" si="0">H8-G8</f>
        <v>-218079.89496694924</v>
      </c>
      <c r="K8" s="40">
        <f t="shared" ref="K8:K42" si="1">N$4*F8%</f>
        <v>0</v>
      </c>
      <c r="L8" s="6">
        <f t="shared" ref="L8:L42" si="2">N$3*F8%</f>
        <v>248740.74360000002</v>
      </c>
      <c r="M8" s="23"/>
      <c r="N8" s="23">
        <f>L8+K8-J8+M8</f>
        <v>466820.63856694929</v>
      </c>
      <c r="O8" s="23">
        <f t="shared" ref="O8:O42" si="3">N8*6% + N8</f>
        <v>494829.87688096624</v>
      </c>
      <c r="Q8" s="31">
        <f>G7+G39</f>
        <v>196519.37515792553</v>
      </c>
    </row>
    <row r="9" spans="1:18" x14ac:dyDescent="0.25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152797.63821279994</v>
      </c>
      <c r="H9" s="29">
        <f>G9</f>
        <v>152797.63821279994</v>
      </c>
      <c r="I9" s="13" t="s">
        <v>123</v>
      </c>
      <c r="J9" s="7">
        <f t="shared" si="0"/>
        <v>0</v>
      </c>
      <c r="K9" s="40">
        <f t="shared" si="1"/>
        <v>0</v>
      </c>
      <c r="L9" s="6">
        <f t="shared" si="2"/>
        <v>247993.77439999999</v>
      </c>
      <c r="M9" s="23"/>
      <c r="N9" s="23">
        <f t="shared" ref="N9:N42" si="4">L9+K9-J9+M9</f>
        <v>247993.77439999999</v>
      </c>
      <c r="O9" s="23">
        <f t="shared" si="3"/>
        <v>262873.40086399997</v>
      </c>
    </row>
    <row r="10" spans="1:18" x14ac:dyDescent="0.25">
      <c r="A10" s="1" t="s">
        <v>19</v>
      </c>
      <c r="B10" s="1"/>
      <c r="C10" s="34" t="s">
        <v>51</v>
      </c>
      <c r="D10" s="34" t="s">
        <v>120</v>
      </c>
      <c r="E10" s="34"/>
      <c r="F10" s="1">
        <v>3.42</v>
      </c>
      <c r="G10" s="24">
        <v>512162.19533540343</v>
      </c>
      <c r="H10" s="29">
        <f>150000+7500</f>
        <v>157500</v>
      </c>
      <c r="I10" s="13" t="s">
        <v>123</v>
      </c>
      <c r="J10" s="7">
        <f t="shared" si="0"/>
        <v>-354662.19533540343</v>
      </c>
      <c r="K10" s="40">
        <f t="shared" si="1"/>
        <v>0</v>
      </c>
      <c r="L10" s="6">
        <f t="shared" si="2"/>
        <v>255463.4664</v>
      </c>
      <c r="M10" s="23"/>
      <c r="N10" s="23">
        <f t="shared" si="4"/>
        <v>610125.66173540347</v>
      </c>
      <c r="O10" s="23">
        <f t="shared" si="3"/>
        <v>646733.20143952768</v>
      </c>
    </row>
    <row r="11" spans="1:18" x14ac:dyDescent="0.25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153718.403494</v>
      </c>
      <c r="H11" s="29">
        <f>G11</f>
        <v>153718.403494</v>
      </c>
      <c r="I11" s="13" t="s">
        <v>123</v>
      </c>
      <c r="J11" s="7">
        <f t="shared" si="0"/>
        <v>0</v>
      </c>
      <c r="K11" s="40">
        <f t="shared" si="1"/>
        <v>0</v>
      </c>
      <c r="L11" s="6">
        <f t="shared" si="2"/>
        <v>249487.71279999998</v>
      </c>
      <c r="M11" s="23"/>
      <c r="N11" s="23">
        <f t="shared" si="4"/>
        <v>249487.71279999998</v>
      </c>
      <c r="O11" s="23">
        <f t="shared" si="3"/>
        <v>264456.97556799999</v>
      </c>
    </row>
    <row r="12" spans="1:18" x14ac:dyDescent="0.25">
      <c r="A12" s="1" t="s">
        <v>20</v>
      </c>
      <c r="B12" s="1"/>
      <c r="C12" s="34" t="s">
        <v>53</v>
      </c>
      <c r="D12" s="34" t="s">
        <v>144</v>
      </c>
      <c r="E12" s="34"/>
      <c r="F12" s="1">
        <v>3.33</v>
      </c>
      <c r="G12" s="24">
        <v>153258.16875300001</v>
      </c>
      <c r="H12" s="29">
        <f>G12</f>
        <v>153258.16875300001</v>
      </c>
      <c r="I12" s="13" t="s">
        <v>123</v>
      </c>
      <c r="J12" s="7">
        <f t="shared" si="0"/>
        <v>0</v>
      </c>
      <c r="K12" s="40">
        <f t="shared" si="1"/>
        <v>0</v>
      </c>
      <c r="L12" s="6">
        <f t="shared" si="2"/>
        <v>248740.74360000002</v>
      </c>
      <c r="M12" s="23"/>
      <c r="N12" s="23">
        <f t="shared" si="4"/>
        <v>248740.74360000002</v>
      </c>
      <c r="O12" s="23">
        <f t="shared" si="3"/>
        <v>263665.18821600004</v>
      </c>
    </row>
    <row r="13" spans="1:18" x14ac:dyDescent="0.25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152797.93401200001</v>
      </c>
      <c r="H13" s="29">
        <f>G13</f>
        <v>152797.93401200001</v>
      </c>
      <c r="I13" s="13" t="s">
        <v>123</v>
      </c>
      <c r="J13" s="7">
        <f t="shared" si="0"/>
        <v>0</v>
      </c>
      <c r="K13" s="40">
        <f t="shared" si="1"/>
        <v>0</v>
      </c>
      <c r="L13" s="6">
        <f t="shared" si="2"/>
        <v>247993.77439999999</v>
      </c>
      <c r="M13" s="23"/>
      <c r="N13" s="23">
        <f t="shared" si="4"/>
        <v>247993.77439999999</v>
      </c>
      <c r="O13" s="23">
        <f t="shared" si="3"/>
        <v>262873.40086399997</v>
      </c>
    </row>
    <row r="14" spans="1:18" x14ac:dyDescent="0.25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153258.16875300001</v>
      </c>
      <c r="H14" s="29">
        <f>G14</f>
        <v>153258.16875300001</v>
      </c>
      <c r="I14" s="13" t="s">
        <v>123</v>
      </c>
      <c r="J14" s="7">
        <f t="shared" si="0"/>
        <v>0</v>
      </c>
      <c r="K14" s="40">
        <f t="shared" si="1"/>
        <v>0</v>
      </c>
      <c r="L14" s="6">
        <f t="shared" si="2"/>
        <v>248740.74360000002</v>
      </c>
      <c r="M14" s="23"/>
      <c r="N14" s="23">
        <f t="shared" si="4"/>
        <v>248740.74360000002</v>
      </c>
      <c r="O14" s="23">
        <f t="shared" si="3"/>
        <v>263665.18821600004</v>
      </c>
    </row>
    <row r="15" spans="1:18" x14ac:dyDescent="0.25">
      <c r="A15" s="1" t="s">
        <v>21</v>
      </c>
      <c r="B15" s="1"/>
      <c r="C15" s="34" t="s">
        <v>56</v>
      </c>
      <c r="D15" s="34" t="s">
        <v>90</v>
      </c>
      <c r="E15" s="34" t="s">
        <v>148</v>
      </c>
      <c r="F15" s="1">
        <v>3.24</v>
      </c>
      <c r="G15" s="24">
        <v>225650.79213000485</v>
      </c>
      <c r="H15" s="29">
        <v>128221</v>
      </c>
      <c r="I15" s="13" t="s">
        <v>123</v>
      </c>
      <c r="J15" s="7">
        <f t="shared" si="0"/>
        <v>-97429.792130004847</v>
      </c>
      <c r="K15" s="40">
        <f t="shared" si="1"/>
        <v>0</v>
      </c>
      <c r="L15" s="6">
        <f t="shared" si="2"/>
        <v>242018.02080000003</v>
      </c>
      <c r="M15" s="23"/>
      <c r="N15" s="23">
        <f t="shared" si="4"/>
        <v>339447.8129300049</v>
      </c>
      <c r="O15" s="23">
        <f t="shared" si="3"/>
        <v>359814.68170580518</v>
      </c>
      <c r="R15" t="s">
        <v>184</v>
      </c>
    </row>
    <row r="16" spans="1:18" x14ac:dyDescent="0.25">
      <c r="A16" s="1" t="s">
        <v>22</v>
      </c>
      <c r="B16" s="1"/>
      <c r="C16" s="34" t="s">
        <v>57</v>
      </c>
      <c r="D16" s="34" t="s">
        <v>91</v>
      </c>
      <c r="E16" s="34" t="s">
        <v>137</v>
      </c>
      <c r="F16" s="1">
        <v>3.33</v>
      </c>
      <c r="G16" s="24">
        <v>416823.23965319991</v>
      </c>
      <c r="H16" s="29"/>
      <c r="I16" s="13" t="s">
        <v>123</v>
      </c>
      <c r="J16" s="7">
        <f t="shared" si="0"/>
        <v>-416823.23965319991</v>
      </c>
      <c r="K16" s="40">
        <f t="shared" si="1"/>
        <v>0</v>
      </c>
      <c r="L16" s="6">
        <f t="shared" si="2"/>
        <v>248740.74360000002</v>
      </c>
      <c r="M16" s="23"/>
      <c r="N16" s="23">
        <f>L16+K16-J16+M16</f>
        <v>665563.98325319996</v>
      </c>
      <c r="O16" s="23">
        <f t="shared" si="3"/>
        <v>705497.82224839192</v>
      </c>
    </row>
    <row r="17" spans="1:18" x14ac:dyDescent="0.25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161965.81005272001</v>
      </c>
      <c r="H17" s="29">
        <v>152797.23000000001</v>
      </c>
      <c r="I17" s="13" t="s">
        <v>123</v>
      </c>
      <c r="J17" s="7">
        <f t="shared" si="0"/>
        <v>-9168.5800527200045</v>
      </c>
      <c r="K17" s="40">
        <f t="shared" si="1"/>
        <v>0</v>
      </c>
      <c r="L17" s="6">
        <f t="shared" si="2"/>
        <v>247993.77439999999</v>
      </c>
      <c r="M17" s="23"/>
      <c r="N17" s="23">
        <f t="shared" si="4"/>
        <v>257162.35445272</v>
      </c>
      <c r="O17" s="23">
        <f t="shared" si="3"/>
        <v>272592.09571988322</v>
      </c>
    </row>
    <row r="18" spans="1:18" x14ac:dyDescent="0.25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365040.24357039999</v>
      </c>
      <c r="H18" s="29">
        <f>50040.24+316000</f>
        <v>366040.24</v>
      </c>
      <c r="I18" s="13" t="s">
        <v>123</v>
      </c>
      <c r="J18" s="7">
        <f t="shared" si="0"/>
        <v>999.99642959999619</v>
      </c>
      <c r="K18" s="40">
        <f t="shared" si="1"/>
        <v>0</v>
      </c>
      <c r="L18" s="6">
        <f t="shared" si="2"/>
        <v>248740.74360000002</v>
      </c>
      <c r="M18" s="23"/>
      <c r="N18" s="23">
        <f t="shared" si="4"/>
        <v>247740.74717040002</v>
      </c>
      <c r="O18" s="23">
        <f t="shared" si="3"/>
        <v>262605.19200062403</v>
      </c>
    </row>
    <row r="19" spans="1:18" x14ac:dyDescent="0.25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149214.9096347724</v>
      </c>
      <c r="H19" s="29">
        <f>224700-H32</f>
        <v>149221.50247599999</v>
      </c>
      <c r="I19" s="13" t="s">
        <v>123</v>
      </c>
      <c r="J19" s="7">
        <f t="shared" si="0"/>
        <v>6.5928412275970913</v>
      </c>
      <c r="K19" s="40">
        <f t="shared" si="1"/>
        <v>0</v>
      </c>
      <c r="L19" s="6">
        <f t="shared" si="2"/>
        <v>242018.02080000003</v>
      </c>
      <c r="M19" s="23"/>
      <c r="N19" s="23">
        <f t="shared" si="4"/>
        <v>242011.42795877243</v>
      </c>
      <c r="O19" s="23">
        <f t="shared" si="3"/>
        <v>256532.11363629877</v>
      </c>
    </row>
    <row r="20" spans="1:18" x14ac:dyDescent="0.25">
      <c r="A20" s="1" t="s">
        <v>24</v>
      </c>
      <c r="B20" s="1"/>
      <c r="C20" s="34" t="s">
        <v>61</v>
      </c>
      <c r="D20" s="34" t="s">
        <v>95</v>
      </c>
      <c r="E20" s="34" t="s">
        <v>139</v>
      </c>
      <c r="F20" s="1">
        <v>3.33</v>
      </c>
      <c r="G20" s="24">
        <v>153058.03420309996</v>
      </c>
      <c r="H20" s="29">
        <f>G20</f>
        <v>153058.03420309996</v>
      </c>
      <c r="I20" s="13" t="s">
        <v>123</v>
      </c>
      <c r="J20" s="7">
        <f t="shared" si="0"/>
        <v>0</v>
      </c>
      <c r="K20" s="40">
        <f t="shared" si="1"/>
        <v>0</v>
      </c>
      <c r="L20" s="6">
        <f t="shared" si="2"/>
        <v>248740.74360000002</v>
      </c>
      <c r="M20" s="23"/>
      <c r="N20" s="23">
        <f t="shared" si="4"/>
        <v>248740.74360000002</v>
      </c>
      <c r="O20" s="23">
        <f t="shared" si="3"/>
        <v>263665.18821600004</v>
      </c>
    </row>
    <row r="21" spans="1:18" x14ac:dyDescent="0.25">
      <c r="A21" s="1" t="s">
        <v>24</v>
      </c>
      <c r="B21" s="1"/>
      <c r="C21" s="34" t="s">
        <v>62</v>
      </c>
      <c r="D21" s="34" t="s">
        <v>96</v>
      </c>
      <c r="E21" s="34"/>
      <c r="F21" s="1">
        <v>3.32</v>
      </c>
      <c r="G21" s="24">
        <v>476571.93858125596</v>
      </c>
      <c r="H21" s="29"/>
      <c r="I21" s="13" t="s">
        <v>152</v>
      </c>
      <c r="J21" s="7">
        <f>H21-G21</f>
        <v>-476571.93858125596</v>
      </c>
      <c r="K21" s="40">
        <f t="shared" si="1"/>
        <v>0</v>
      </c>
      <c r="L21" s="6">
        <f t="shared" si="2"/>
        <v>247993.77439999999</v>
      </c>
      <c r="M21" s="23"/>
      <c r="N21" s="23">
        <f t="shared" si="4"/>
        <v>724565.71298125596</v>
      </c>
      <c r="O21" s="23">
        <f t="shared" si="3"/>
        <v>768039.65576013131</v>
      </c>
    </row>
    <row r="22" spans="1:18" x14ac:dyDescent="0.25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2017145.2249669489</v>
      </c>
      <c r="H22" s="29"/>
      <c r="I22" s="13" t="s">
        <v>123</v>
      </c>
      <c r="J22" s="43">
        <f t="shared" si="0"/>
        <v>-2017145.2249669489</v>
      </c>
      <c r="K22" s="40">
        <f t="shared" si="1"/>
        <v>0</v>
      </c>
      <c r="L22" s="6">
        <f t="shared" si="2"/>
        <v>248740.74360000002</v>
      </c>
      <c r="M22" s="23"/>
      <c r="N22" s="23">
        <f t="shared" si="4"/>
        <v>2265885.968566949</v>
      </c>
      <c r="O22" s="23">
        <f t="shared" si="3"/>
        <v>2401839.126680966</v>
      </c>
      <c r="R22" s="30"/>
    </row>
    <row r="23" spans="1:18" x14ac:dyDescent="0.25">
      <c r="A23" s="1" t="s">
        <v>25</v>
      </c>
      <c r="B23" s="1"/>
      <c r="C23" s="34" t="s">
        <v>64</v>
      </c>
      <c r="D23" s="34" t="s">
        <v>98</v>
      </c>
      <c r="E23" s="34" t="s">
        <v>183</v>
      </c>
      <c r="F23" s="1">
        <v>3.24</v>
      </c>
      <c r="G23" s="24">
        <v>149116.05608400004</v>
      </c>
      <c r="H23" s="29">
        <f>G23</f>
        <v>149116.05608400004</v>
      </c>
      <c r="I23" s="13" t="s">
        <v>140</v>
      </c>
      <c r="J23" s="7">
        <f t="shared" si="0"/>
        <v>0</v>
      </c>
      <c r="K23" s="40">
        <f t="shared" si="1"/>
        <v>0</v>
      </c>
      <c r="L23" s="6">
        <f t="shared" si="2"/>
        <v>242018.02080000003</v>
      </c>
      <c r="M23" s="23"/>
      <c r="N23" s="23">
        <f t="shared" si="4"/>
        <v>242018.02080000003</v>
      </c>
      <c r="O23" s="23">
        <f t="shared" si="3"/>
        <v>256539.10204800003</v>
      </c>
    </row>
    <row r="24" spans="1:18" x14ac:dyDescent="0.25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141133.82077120009</v>
      </c>
      <c r="H24" s="29">
        <f>G24</f>
        <v>141133.82077120009</v>
      </c>
      <c r="I24" s="13" t="s">
        <v>123</v>
      </c>
      <c r="J24" s="7">
        <f t="shared" si="0"/>
        <v>0</v>
      </c>
      <c r="K24" s="40">
        <f t="shared" si="1"/>
        <v>0</v>
      </c>
      <c r="L24" s="6">
        <f t="shared" si="2"/>
        <v>242018.02080000003</v>
      </c>
      <c r="M24" s="23"/>
      <c r="N24" s="23">
        <f t="shared" si="4"/>
        <v>242018.02080000003</v>
      </c>
      <c r="O24" s="23">
        <f t="shared" si="3"/>
        <v>256539.10204800003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138</v>
      </c>
      <c r="F25" s="1">
        <v>3.32</v>
      </c>
      <c r="G25" s="24">
        <v>152798.53402399988</v>
      </c>
      <c r="H25" s="29">
        <f>228278-H33</f>
        <v>152799.50247599999</v>
      </c>
      <c r="I25" s="13" t="s">
        <v>123</v>
      </c>
      <c r="J25" s="7">
        <f t="shared" si="0"/>
        <v>0.96845200011739507</v>
      </c>
      <c r="K25" s="40">
        <f t="shared" si="1"/>
        <v>0</v>
      </c>
      <c r="L25" s="6">
        <f t="shared" si="2"/>
        <v>247993.77439999999</v>
      </c>
      <c r="M25" s="23"/>
      <c r="N25" s="23">
        <f t="shared" si="4"/>
        <v>247992.80594799988</v>
      </c>
      <c r="O25" s="23">
        <f t="shared" si="3"/>
        <v>262872.37430487986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 t="s">
        <v>134</v>
      </c>
      <c r="F26" s="1">
        <v>3.33</v>
      </c>
      <c r="G26" s="17">
        <v>153258.16875300001</v>
      </c>
      <c r="H26" s="29">
        <f>G26</f>
        <v>153258.16875300001</v>
      </c>
      <c r="I26" s="13" t="s">
        <v>123</v>
      </c>
      <c r="J26" s="7">
        <f t="shared" si="0"/>
        <v>0</v>
      </c>
      <c r="K26" s="40">
        <f t="shared" si="1"/>
        <v>0</v>
      </c>
      <c r="L26" s="6">
        <f t="shared" si="2"/>
        <v>248740.74360000002</v>
      </c>
      <c r="M26" s="23"/>
      <c r="N26" s="23">
        <f t="shared" si="4"/>
        <v>248740.74360000002</v>
      </c>
      <c r="O26" s="23">
        <f t="shared" si="3"/>
        <v>263665.18821600004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135</v>
      </c>
      <c r="F27" s="1">
        <v>3.24</v>
      </c>
      <c r="G27" s="24">
        <v>149116.05608400004</v>
      </c>
      <c r="H27" s="29">
        <f>G27</f>
        <v>149116.05608400004</v>
      </c>
      <c r="I27" s="13" t="s">
        <v>152</v>
      </c>
      <c r="J27" s="7">
        <f t="shared" si="0"/>
        <v>0</v>
      </c>
      <c r="K27" s="40">
        <f t="shared" si="1"/>
        <v>0</v>
      </c>
      <c r="L27" s="6">
        <f t="shared" si="2"/>
        <v>242018.02080000003</v>
      </c>
      <c r="M27" s="23"/>
      <c r="N27" s="23">
        <f t="shared" si="4"/>
        <v>242018.02080000003</v>
      </c>
      <c r="O27" s="23">
        <f t="shared" si="3"/>
        <v>256539.10204800003</v>
      </c>
    </row>
    <row r="28" spans="1:18" x14ac:dyDescent="0.25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153258.16875300001</v>
      </c>
      <c r="H28" s="29">
        <f>304214-H37-H36</f>
        <v>153257.00495199999</v>
      </c>
      <c r="I28" s="13" t="s">
        <v>124</v>
      </c>
      <c r="J28" s="7">
        <f t="shared" si="0"/>
        <v>-1.1638010000169743</v>
      </c>
      <c r="K28" s="40">
        <f t="shared" si="1"/>
        <v>0</v>
      </c>
      <c r="L28" s="6">
        <f t="shared" si="2"/>
        <v>248740.74360000002</v>
      </c>
      <c r="M28" s="23"/>
      <c r="N28" s="23">
        <f t="shared" si="4"/>
        <v>248741.90740100003</v>
      </c>
      <c r="O28" s="23">
        <f t="shared" si="3"/>
        <v>263666.42184506002</v>
      </c>
    </row>
    <row r="29" spans="1:18" x14ac:dyDescent="0.25">
      <c r="A29" s="1" t="s">
        <v>30</v>
      </c>
      <c r="B29" s="1"/>
      <c r="C29" s="34" t="s">
        <v>70</v>
      </c>
      <c r="D29" s="34" t="s">
        <v>104</v>
      </c>
      <c r="E29" s="34" t="s">
        <v>202</v>
      </c>
      <c r="F29" s="1">
        <v>3.32</v>
      </c>
      <c r="G29" s="188">
        <v>284184.72611239995</v>
      </c>
      <c r="H29" s="189"/>
      <c r="I29" s="13" t="s">
        <v>123</v>
      </c>
      <c r="J29" s="7">
        <f t="shared" si="0"/>
        <v>-284184.72611239995</v>
      </c>
      <c r="K29" s="40">
        <f t="shared" si="1"/>
        <v>0</v>
      </c>
      <c r="L29" s="6">
        <f t="shared" si="2"/>
        <v>247993.77439999999</v>
      </c>
      <c r="M29" s="23"/>
      <c r="N29" s="23">
        <f t="shared" si="4"/>
        <v>532178.50051239994</v>
      </c>
      <c r="O29" s="23">
        <f t="shared" si="3"/>
        <v>564109.21054314391</v>
      </c>
      <c r="Q29" s="190" t="s">
        <v>203</v>
      </c>
    </row>
    <row r="30" spans="1:18" x14ac:dyDescent="0.25">
      <c r="A30" s="1" t="s">
        <v>36</v>
      </c>
      <c r="B30" s="1"/>
      <c r="C30" s="34" t="s">
        <v>71</v>
      </c>
      <c r="D30" s="34" t="s">
        <v>105</v>
      </c>
      <c r="E30" s="34" t="s">
        <v>136</v>
      </c>
      <c r="F30" s="1">
        <v>3.33</v>
      </c>
      <c r="G30" s="24">
        <v>153258.16875300001</v>
      </c>
      <c r="H30" s="29">
        <f>G30</f>
        <v>153258.16875300001</v>
      </c>
      <c r="I30" s="13" t="s">
        <v>123</v>
      </c>
      <c r="J30" s="7">
        <f t="shared" si="0"/>
        <v>0</v>
      </c>
      <c r="K30" s="40">
        <f t="shared" si="1"/>
        <v>0</v>
      </c>
      <c r="L30" s="6">
        <f t="shared" si="2"/>
        <v>248740.74360000002</v>
      </c>
      <c r="M30" s="23"/>
      <c r="N30" s="23">
        <f t="shared" si="4"/>
        <v>248740.74360000002</v>
      </c>
      <c r="O30" s="23">
        <f t="shared" si="3"/>
        <v>263665.18821600004</v>
      </c>
      <c r="Q30" s="190" t="s">
        <v>204</v>
      </c>
    </row>
    <row r="31" spans="1:18" x14ac:dyDescent="0.25">
      <c r="A31" s="1" t="s">
        <v>36</v>
      </c>
      <c r="B31" s="1"/>
      <c r="C31" s="34" t="s">
        <v>72</v>
      </c>
      <c r="D31" s="144" t="s">
        <v>186</v>
      </c>
      <c r="E31" s="35"/>
      <c r="F31" s="1">
        <v>3.24</v>
      </c>
      <c r="G31" s="24">
        <v>783395.0121480932</v>
      </c>
      <c r="H31" s="29">
        <v>149116</v>
      </c>
      <c r="I31" s="13" t="s">
        <v>123</v>
      </c>
      <c r="J31" s="7">
        <f t="shared" si="0"/>
        <v>-634279.0121480932</v>
      </c>
      <c r="K31" s="40">
        <f t="shared" si="1"/>
        <v>0</v>
      </c>
      <c r="L31" s="6">
        <f t="shared" si="2"/>
        <v>242018.02080000003</v>
      </c>
      <c r="M31" s="23"/>
      <c r="N31" s="23">
        <f>L31+K31-J31+M31</f>
        <v>876297.03294809326</v>
      </c>
      <c r="O31" s="23">
        <f t="shared" si="3"/>
        <v>928874.8549249788</v>
      </c>
    </row>
    <row r="32" spans="1:18" x14ac:dyDescent="0.25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75478.497523999991</v>
      </c>
      <c r="H32" s="29">
        <f>G32</f>
        <v>75478.497523999991</v>
      </c>
      <c r="I32" s="13" t="s">
        <v>123</v>
      </c>
      <c r="J32" s="7">
        <f t="shared" si="0"/>
        <v>0</v>
      </c>
      <c r="K32" s="40">
        <f t="shared" si="1"/>
        <v>0</v>
      </c>
      <c r="L32" s="6">
        <f t="shared" si="2"/>
        <v>122502.94879999998</v>
      </c>
      <c r="M32" s="23"/>
      <c r="N32" s="23">
        <f t="shared" si="4"/>
        <v>122502.94879999998</v>
      </c>
      <c r="O32" s="23">
        <f t="shared" si="3"/>
        <v>129853.12572799998</v>
      </c>
    </row>
    <row r="33" spans="1:17" x14ac:dyDescent="0.25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75478.497523999991</v>
      </c>
      <c r="H33" s="29">
        <f>G33</f>
        <v>75478.497523999991</v>
      </c>
      <c r="I33" s="13" t="s">
        <v>123</v>
      </c>
      <c r="J33" s="7">
        <f t="shared" si="0"/>
        <v>0</v>
      </c>
      <c r="K33" s="40">
        <f t="shared" si="1"/>
        <v>0</v>
      </c>
      <c r="L33" s="6">
        <f t="shared" si="2"/>
        <v>122502.94879999998</v>
      </c>
      <c r="M33" s="23"/>
      <c r="N33" s="23">
        <f t="shared" si="4"/>
        <v>122502.94879999998</v>
      </c>
      <c r="O33" s="23">
        <f t="shared" si="3"/>
        <v>129853.12572799998</v>
      </c>
    </row>
    <row r="34" spans="1:17" x14ac:dyDescent="0.25">
      <c r="A34" s="1" t="s">
        <v>36</v>
      </c>
      <c r="B34" s="1"/>
      <c r="C34" s="34" t="s">
        <v>75</v>
      </c>
      <c r="D34" s="34" t="s">
        <v>85</v>
      </c>
      <c r="E34" s="34"/>
      <c r="F34" s="1">
        <v>1.64</v>
      </c>
      <c r="G34" s="24">
        <v>74663.836837367257</v>
      </c>
      <c r="H34" s="29">
        <v>65000</v>
      </c>
      <c r="I34" s="13" t="s">
        <v>123</v>
      </c>
      <c r="J34" s="7">
        <f t="shared" si="0"/>
        <v>-9663.8368373672565</v>
      </c>
      <c r="K34" s="40">
        <f t="shared" si="1"/>
        <v>0</v>
      </c>
      <c r="L34" s="6">
        <f t="shared" si="2"/>
        <v>122502.94879999998</v>
      </c>
      <c r="M34" s="23"/>
      <c r="N34" s="23">
        <f t="shared" si="4"/>
        <v>132166.78563736723</v>
      </c>
      <c r="O34" s="23">
        <f t="shared" si="3"/>
        <v>140096.79277560927</v>
      </c>
    </row>
    <row r="35" spans="1:17" x14ac:dyDescent="0.25">
      <c r="A35" s="1" t="s">
        <v>36</v>
      </c>
      <c r="B35" s="1"/>
      <c r="C35" s="34" t="s">
        <v>76</v>
      </c>
      <c r="D35" s="34" t="s">
        <v>106</v>
      </c>
      <c r="E35" s="34"/>
      <c r="F35" s="1">
        <v>1.64</v>
      </c>
      <c r="G35" s="24">
        <v>140380.40687479998</v>
      </c>
      <c r="H35" s="29"/>
      <c r="I35" s="13" t="s">
        <v>123</v>
      </c>
      <c r="J35" s="7">
        <f t="shared" si="0"/>
        <v>-140380.40687479998</v>
      </c>
      <c r="K35" s="40">
        <f t="shared" si="1"/>
        <v>0</v>
      </c>
      <c r="L35" s="6">
        <f t="shared" si="2"/>
        <v>122502.94879999998</v>
      </c>
      <c r="M35" s="23"/>
      <c r="N35" s="23">
        <f t="shared" si="4"/>
        <v>262883.3556748</v>
      </c>
      <c r="O35" s="23">
        <f t="shared" si="3"/>
        <v>278656.35701528797</v>
      </c>
      <c r="Q35" t="s">
        <v>187</v>
      </c>
    </row>
    <row r="36" spans="1:17" x14ac:dyDescent="0.25">
      <c r="A36" s="1" t="s">
        <v>36</v>
      </c>
      <c r="B36" s="1"/>
      <c r="C36" s="34" t="s">
        <v>77</v>
      </c>
      <c r="D36" s="34" t="s">
        <v>107</v>
      </c>
      <c r="E36" s="34"/>
      <c r="F36" s="1">
        <v>1.64</v>
      </c>
      <c r="G36" s="24">
        <v>75478.497523999991</v>
      </c>
      <c r="H36" s="29">
        <f>G36</f>
        <v>75478.497523999991</v>
      </c>
      <c r="I36" s="13" t="s">
        <v>140</v>
      </c>
      <c r="J36" s="7">
        <f t="shared" si="0"/>
        <v>0</v>
      </c>
      <c r="K36" s="40">
        <f t="shared" si="1"/>
        <v>0</v>
      </c>
      <c r="L36" s="6">
        <f t="shared" si="2"/>
        <v>122502.94879999998</v>
      </c>
      <c r="M36" s="23"/>
      <c r="N36" s="23">
        <f t="shared" si="4"/>
        <v>122502.94879999998</v>
      </c>
      <c r="O36" s="23">
        <f t="shared" si="3"/>
        <v>129853.12572799998</v>
      </c>
    </row>
    <row r="37" spans="1:17" x14ac:dyDescent="0.25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75478.497523999991</v>
      </c>
      <c r="H37" s="29">
        <f>G37</f>
        <v>75478.497523999991</v>
      </c>
      <c r="I37" s="13" t="s">
        <v>124</v>
      </c>
      <c r="J37" s="7">
        <f t="shared" si="0"/>
        <v>0</v>
      </c>
      <c r="K37" s="40">
        <f t="shared" si="1"/>
        <v>0</v>
      </c>
      <c r="L37" s="6">
        <f t="shared" si="2"/>
        <v>122502.94879999998</v>
      </c>
      <c r="M37" s="23"/>
      <c r="N37" s="23">
        <f t="shared" si="4"/>
        <v>122502.94879999998</v>
      </c>
      <c r="O37" s="23">
        <f t="shared" si="3"/>
        <v>129853.12572799998</v>
      </c>
    </row>
    <row r="38" spans="1:17" x14ac:dyDescent="0.25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993428.88502876763</v>
      </c>
      <c r="H38" s="29"/>
      <c r="I38" s="13" t="s">
        <v>123</v>
      </c>
      <c r="J38" s="7">
        <f t="shared" si="0"/>
        <v>-993428.88502876763</v>
      </c>
      <c r="K38" s="40">
        <f t="shared" si="1"/>
        <v>0</v>
      </c>
      <c r="L38" s="6">
        <f t="shared" si="2"/>
        <v>122502.94879999998</v>
      </c>
      <c r="M38" s="23"/>
      <c r="N38" s="23">
        <f t="shared" si="4"/>
        <v>1115931.8338287675</v>
      </c>
      <c r="O38" s="23">
        <f t="shared" si="3"/>
        <v>1182887.7438584936</v>
      </c>
    </row>
    <row r="39" spans="1:17" x14ac:dyDescent="0.25">
      <c r="A39" s="1" t="s">
        <v>36</v>
      </c>
      <c r="B39" s="1"/>
      <c r="C39" s="34" t="s">
        <v>80</v>
      </c>
      <c r="D39" s="34" t="s">
        <v>108</v>
      </c>
      <c r="E39" s="34"/>
      <c r="F39" s="1">
        <v>1.64</v>
      </c>
      <c r="G39" s="24">
        <v>75478.497523999991</v>
      </c>
      <c r="H39" s="29">
        <f>G39</f>
        <v>75478.497523999991</v>
      </c>
      <c r="I39" s="13" t="s">
        <v>123</v>
      </c>
      <c r="J39" s="7">
        <f t="shared" si="0"/>
        <v>0</v>
      </c>
      <c r="K39" s="40">
        <f t="shared" si="1"/>
        <v>0</v>
      </c>
      <c r="L39" s="6">
        <f t="shared" si="2"/>
        <v>122502.94879999998</v>
      </c>
      <c r="M39" s="23"/>
      <c r="N39" s="23">
        <f t="shared" si="4"/>
        <v>122502.94879999998</v>
      </c>
      <c r="O39" s="23">
        <f t="shared" si="3"/>
        <v>129853.12572799998</v>
      </c>
    </row>
    <row r="40" spans="1:17" x14ac:dyDescent="0.25">
      <c r="A40" s="1" t="s">
        <v>36</v>
      </c>
      <c r="B40" s="1"/>
      <c r="C40" s="34" t="s">
        <v>81</v>
      </c>
      <c r="D40" s="34" t="s">
        <v>106</v>
      </c>
      <c r="E40" s="34" t="s">
        <v>153</v>
      </c>
      <c r="F40" s="1">
        <v>1.64</v>
      </c>
      <c r="G40" s="24">
        <v>75478.497523999991</v>
      </c>
      <c r="H40" s="29">
        <f>G40</f>
        <v>75478.497523999991</v>
      </c>
      <c r="I40" s="13" t="s">
        <v>140</v>
      </c>
      <c r="J40" s="7">
        <f t="shared" si="0"/>
        <v>0</v>
      </c>
      <c r="K40" s="40">
        <f t="shared" si="1"/>
        <v>0</v>
      </c>
      <c r="L40" s="6">
        <f t="shared" si="2"/>
        <v>122502.94879999998</v>
      </c>
      <c r="M40" s="23"/>
      <c r="N40" s="23">
        <f t="shared" si="4"/>
        <v>122502.94879999998</v>
      </c>
      <c r="O40" s="23">
        <f t="shared" si="3"/>
        <v>129853.12572799998</v>
      </c>
    </row>
    <row r="41" spans="1:17" x14ac:dyDescent="0.25">
      <c r="A41" s="1" t="s">
        <v>36</v>
      </c>
      <c r="B41" s="1"/>
      <c r="C41" s="34" t="s">
        <v>82</v>
      </c>
      <c r="D41" s="34" t="s">
        <v>109</v>
      </c>
      <c r="E41" s="34"/>
      <c r="F41" s="1">
        <v>1.64</v>
      </c>
      <c r="G41" s="24">
        <v>71790.46400559989</v>
      </c>
      <c r="H41" s="29">
        <v>76098</v>
      </c>
      <c r="I41" s="13" t="s">
        <v>123</v>
      </c>
      <c r="J41" s="7">
        <f t="shared" si="0"/>
        <v>4307.5359944001102</v>
      </c>
      <c r="K41" s="40">
        <f t="shared" si="1"/>
        <v>0</v>
      </c>
      <c r="L41" s="6">
        <f t="shared" si="2"/>
        <v>122502.94879999998</v>
      </c>
      <c r="M41" s="23"/>
      <c r="N41" s="23">
        <f t="shared" si="4"/>
        <v>118195.41280559987</v>
      </c>
      <c r="O41" s="23">
        <f t="shared" si="3"/>
        <v>125287.13757393586</v>
      </c>
    </row>
    <row r="42" spans="1:17" x14ac:dyDescent="0.25">
      <c r="A42" s="1" t="s">
        <v>36</v>
      </c>
      <c r="B42" s="1"/>
      <c r="C42" s="34" t="s">
        <v>83</v>
      </c>
      <c r="D42" s="34" t="s">
        <v>110</v>
      </c>
      <c r="E42" s="34"/>
      <c r="F42" s="1">
        <v>1.64</v>
      </c>
      <c r="G42" s="24">
        <v>138798.22557639994</v>
      </c>
      <c r="H42" s="29"/>
      <c r="I42" s="13" t="s">
        <v>123</v>
      </c>
      <c r="J42" s="7">
        <f t="shared" si="0"/>
        <v>-138798.22557639994</v>
      </c>
      <c r="K42" s="40">
        <f t="shared" si="1"/>
        <v>0</v>
      </c>
      <c r="L42" s="6">
        <f t="shared" si="2"/>
        <v>122502.94879999998</v>
      </c>
      <c r="M42" s="23"/>
      <c r="N42" s="23">
        <f t="shared" si="4"/>
        <v>261301.17437639993</v>
      </c>
      <c r="O42" s="23">
        <f t="shared" si="3"/>
        <v>276979.24483898393</v>
      </c>
    </row>
    <row r="43" spans="1:17" ht="14.25" customHeight="1" x14ac:dyDescent="0.25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9727292.9889031108</v>
      </c>
      <c r="H43" s="9">
        <f>SUM(H7:H42)</f>
        <v>3941990.5853970982</v>
      </c>
      <c r="I43" s="9"/>
      <c r="J43" s="139">
        <f t="shared" ref="J43:O43" si="5">SUM(J7:J42)</f>
        <v>-5785302.403506008</v>
      </c>
      <c r="K43" s="9">
        <f t="shared" si="5"/>
        <v>0</v>
      </c>
      <c r="L43" s="9">
        <f t="shared" si="5"/>
        <v>7476414.7228000024</v>
      </c>
      <c r="M43" s="8">
        <f t="shared" si="5"/>
        <v>0</v>
      </c>
      <c r="N43" s="10">
        <f t="shared" si="5"/>
        <v>13261717.126306005</v>
      </c>
      <c r="O43" s="9">
        <f t="shared" si="5"/>
        <v>14057420.15388437</v>
      </c>
    </row>
    <row r="44" spans="1:17" hidden="1" x14ac:dyDescent="0.25">
      <c r="G44" t="s">
        <v>121</v>
      </c>
      <c r="I44">
        <f>SUMIF(I7:I42,"b",H7:H42)</f>
        <v>3413182.0317890993</v>
      </c>
      <c r="L44" s="11"/>
    </row>
    <row r="45" spans="1:17" hidden="1" x14ac:dyDescent="0.25">
      <c r="G45" t="s">
        <v>122</v>
      </c>
      <c r="I45">
        <f>SUMIF(I7:I42,"e",H7:H42)</f>
        <v>528808.55360800005</v>
      </c>
    </row>
    <row r="46" spans="1:17" hidden="1" x14ac:dyDescent="0.25">
      <c r="G46" t="s">
        <v>16</v>
      </c>
      <c r="H46" s="36">
        <f>I44+I45</f>
        <v>3941990.5853970991</v>
      </c>
    </row>
    <row r="49" spans="4:14" x14ac:dyDescent="0.25">
      <c r="D49" s="167" t="s">
        <v>182</v>
      </c>
      <c r="E49" s="167"/>
      <c r="F49" s="167"/>
      <c r="G49" s="167"/>
      <c r="H49" s="167"/>
      <c r="I49" s="167"/>
      <c r="J49" s="167"/>
      <c r="K49" s="167"/>
      <c r="L49" s="167"/>
      <c r="M49" s="167"/>
      <c r="N49" s="167"/>
    </row>
    <row r="50" spans="4:14" x14ac:dyDescent="0.25"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</row>
    <row r="51" spans="4:14" x14ac:dyDescent="0.25"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</row>
    <row r="52" spans="4:14" x14ac:dyDescent="0.25"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</row>
    <row r="53" spans="4:14" x14ac:dyDescent="0.25"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</row>
    <row r="54" spans="4:14" x14ac:dyDescent="0.25"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</row>
  </sheetData>
  <mergeCells count="17"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F5:F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82" t="s">
        <v>165</v>
      </c>
      <c r="F7" s="183"/>
      <c r="G7" s="183"/>
      <c r="H7" s="183"/>
      <c r="I7" s="183"/>
      <c r="J7" s="183"/>
      <c r="K7" s="181"/>
      <c r="L7" s="44"/>
      <c r="M7" s="45"/>
    </row>
    <row r="8" spans="5:13" ht="15.75" thickBot="1" x14ac:dyDescent="0.3">
      <c r="E8" s="184" t="s">
        <v>166</v>
      </c>
      <c r="F8" s="183"/>
      <c r="G8" s="183"/>
      <c r="H8" s="183"/>
      <c r="I8" s="183"/>
      <c r="J8" s="183"/>
      <c r="K8" s="181"/>
      <c r="L8" s="46"/>
      <c r="M8" s="47"/>
    </row>
    <row r="9" spans="5:13" x14ac:dyDescent="0.25">
      <c r="E9" s="44"/>
      <c r="F9" s="48"/>
      <c r="G9" s="48"/>
      <c r="H9" s="48"/>
      <c r="I9" s="49"/>
      <c r="J9" s="49" t="s">
        <v>167</v>
      </c>
      <c r="K9" s="47"/>
      <c r="L9" s="46"/>
      <c r="M9" s="47"/>
    </row>
    <row r="10" spans="5:13" x14ac:dyDescent="0.25">
      <c r="E10" s="46" t="s">
        <v>168</v>
      </c>
      <c r="F10" s="49"/>
      <c r="G10" s="49"/>
      <c r="H10" s="49"/>
      <c r="I10" s="49"/>
      <c r="J10" s="49" t="s">
        <v>169</v>
      </c>
      <c r="K10" s="47"/>
      <c r="L10" s="46"/>
      <c r="M10" s="47"/>
    </row>
    <row r="11" spans="5:13" x14ac:dyDescent="0.25">
      <c r="E11" s="50"/>
      <c r="F11" s="51"/>
      <c r="G11" s="51"/>
      <c r="H11" s="51"/>
      <c r="I11" s="51"/>
      <c r="J11" s="51"/>
      <c r="K11" s="52"/>
      <c r="L11" s="46"/>
      <c r="M11" s="47"/>
    </row>
    <row r="12" spans="5:13" x14ac:dyDescent="0.25">
      <c r="E12" s="185" t="s">
        <v>170</v>
      </c>
      <c r="F12" s="186"/>
      <c r="G12" s="186"/>
      <c r="H12" s="186"/>
      <c r="I12" s="186"/>
      <c r="J12" s="186"/>
      <c r="K12" s="187"/>
      <c r="L12" s="46"/>
      <c r="M12" s="47"/>
    </row>
    <row r="13" spans="5:13" x14ac:dyDescent="0.25">
      <c r="E13" s="46"/>
      <c r="F13" s="49"/>
      <c r="G13" s="49"/>
      <c r="H13" s="49"/>
      <c r="I13" s="49"/>
      <c r="J13" s="49"/>
      <c r="K13" s="47"/>
      <c r="L13" s="46"/>
      <c r="M13" s="47"/>
    </row>
    <row r="14" spans="5:13" x14ac:dyDescent="0.25">
      <c r="E14" s="46" t="s">
        <v>171</v>
      </c>
      <c r="F14" s="49"/>
      <c r="G14" s="49" t="str">
        <f>PRORRATEO!D12</f>
        <v>RAMOS PAMELA</v>
      </c>
      <c r="H14" s="49"/>
      <c r="I14" s="49" t="s">
        <v>172</v>
      </c>
      <c r="J14" s="53">
        <v>45600</v>
      </c>
      <c r="K14" s="47"/>
      <c r="L14" s="175" t="s">
        <v>173</v>
      </c>
      <c r="M14" s="176"/>
    </row>
    <row r="15" spans="5:13" x14ac:dyDescent="0.25">
      <c r="E15" s="46" t="s">
        <v>174</v>
      </c>
      <c r="F15" s="54" t="str">
        <f>PRORRATEO!C12</f>
        <v>2A</v>
      </c>
      <c r="G15" s="49"/>
      <c r="H15" s="49"/>
      <c r="I15" s="49"/>
      <c r="J15" s="49"/>
      <c r="K15" s="47"/>
      <c r="L15" s="46"/>
      <c r="M15" s="47"/>
    </row>
    <row r="16" spans="5:13" x14ac:dyDescent="0.25">
      <c r="E16" s="46"/>
      <c r="F16" s="49"/>
      <c r="G16" s="49"/>
      <c r="H16" s="49"/>
      <c r="I16" s="49"/>
      <c r="J16" s="49"/>
      <c r="K16" s="47"/>
      <c r="L16" s="177"/>
      <c r="M16" s="176"/>
    </row>
    <row r="17" spans="5:15" x14ac:dyDescent="0.25">
      <c r="E17" s="46"/>
      <c r="F17" s="49"/>
      <c r="G17" s="49"/>
      <c r="H17" s="49"/>
      <c r="I17" s="49"/>
      <c r="J17" s="49"/>
      <c r="K17" s="47"/>
      <c r="L17" s="46"/>
      <c r="M17" s="47"/>
    </row>
    <row r="18" spans="5:15" x14ac:dyDescent="0.25">
      <c r="E18" s="46"/>
      <c r="F18" s="49"/>
      <c r="G18" s="49"/>
      <c r="H18" s="49"/>
      <c r="I18" s="49"/>
      <c r="J18" s="49"/>
      <c r="K18" s="47"/>
      <c r="L18" s="46"/>
      <c r="M18" s="47"/>
    </row>
    <row r="19" spans="5:15" ht="15.75" thickBot="1" x14ac:dyDescent="0.3">
      <c r="E19" s="46"/>
      <c r="F19" s="49"/>
      <c r="G19" s="49"/>
      <c r="H19" s="49"/>
      <c r="I19" s="49"/>
      <c r="J19" s="49"/>
      <c r="K19" s="47"/>
      <c r="L19" s="55"/>
      <c r="M19" s="56"/>
    </row>
    <row r="20" spans="5:15" ht="15.75" thickBot="1" x14ac:dyDescent="0.3">
      <c r="E20" s="178" t="s">
        <v>175</v>
      </c>
      <c r="F20" s="179"/>
      <c r="G20" s="179"/>
      <c r="H20" s="179"/>
      <c r="I20" s="179"/>
      <c r="J20" s="180">
        <f>PRORRATEO!H12</f>
        <v>153258.16875300001</v>
      </c>
      <c r="K20" s="181"/>
      <c r="L20" s="57"/>
      <c r="M20" s="58"/>
    </row>
    <row r="24" spans="5:15" ht="15.75" thickBot="1" x14ac:dyDescent="0.3"/>
    <row r="25" spans="5:15" ht="15.75" thickBot="1" x14ac:dyDescent="0.3">
      <c r="G25" s="182" t="s">
        <v>165</v>
      </c>
      <c r="H25" s="183"/>
      <c r="I25" s="183"/>
      <c r="J25" s="183"/>
      <c r="K25" s="183"/>
      <c r="L25" s="183"/>
      <c r="M25" s="181"/>
      <c r="N25" s="44"/>
      <c r="O25" s="45"/>
    </row>
    <row r="26" spans="5:15" ht="15.75" thickBot="1" x14ac:dyDescent="0.3">
      <c r="G26" s="184" t="s">
        <v>166</v>
      </c>
      <c r="H26" s="183"/>
      <c r="I26" s="183"/>
      <c r="J26" s="183"/>
      <c r="K26" s="183"/>
      <c r="L26" s="183"/>
      <c r="M26" s="181"/>
      <c r="N26" s="46"/>
      <c r="O26" s="47"/>
    </row>
    <row r="27" spans="5:15" x14ac:dyDescent="0.25">
      <c r="G27" s="44"/>
      <c r="H27" s="48"/>
      <c r="I27" s="48"/>
      <c r="J27" s="48"/>
      <c r="K27" s="49"/>
      <c r="L27" s="49" t="s">
        <v>167</v>
      </c>
      <c r="M27" s="47"/>
      <c r="N27" s="46"/>
      <c r="O27" s="47"/>
    </row>
    <row r="28" spans="5:15" x14ac:dyDescent="0.25">
      <c r="G28" s="46" t="s">
        <v>168</v>
      </c>
      <c r="H28" s="49"/>
      <c r="I28" s="49"/>
      <c r="J28" s="49"/>
      <c r="K28" s="49"/>
      <c r="L28" s="49" t="s">
        <v>169</v>
      </c>
      <c r="M28" s="47"/>
      <c r="N28" s="46"/>
      <c r="O28" s="47"/>
    </row>
    <row r="29" spans="5:15" x14ac:dyDescent="0.25">
      <c r="G29" s="50"/>
      <c r="H29" s="51"/>
      <c r="I29" s="51"/>
      <c r="J29" s="51"/>
      <c r="K29" s="51"/>
      <c r="L29" s="51"/>
      <c r="M29" s="52"/>
      <c r="N29" s="46"/>
      <c r="O29" s="47"/>
    </row>
    <row r="30" spans="5:15" x14ac:dyDescent="0.25">
      <c r="G30" s="185" t="s">
        <v>170</v>
      </c>
      <c r="H30" s="186"/>
      <c r="I30" s="186"/>
      <c r="J30" s="186"/>
      <c r="K30" s="186"/>
      <c r="L30" s="186"/>
      <c r="M30" s="187"/>
      <c r="N30" s="46"/>
      <c r="O30" s="47"/>
    </row>
    <row r="31" spans="5:15" x14ac:dyDescent="0.25">
      <c r="G31" s="46"/>
      <c r="H31" s="49"/>
      <c r="I31" s="49"/>
      <c r="J31" s="49"/>
      <c r="K31" s="49"/>
      <c r="L31" s="49"/>
      <c r="M31" s="47"/>
      <c r="N31" s="46"/>
      <c r="O31" s="47"/>
    </row>
    <row r="32" spans="5:15" x14ac:dyDescent="0.25">
      <c r="G32" s="46" t="s">
        <v>171</v>
      </c>
      <c r="H32" s="49"/>
      <c r="I32" s="49"/>
      <c r="J32" s="49"/>
      <c r="K32" s="49" t="s">
        <v>172</v>
      </c>
      <c r="L32" s="53">
        <v>45600</v>
      </c>
      <c r="M32" s="47"/>
      <c r="N32" s="175" t="s">
        <v>173</v>
      </c>
      <c r="O32" s="176"/>
    </row>
    <row r="33" spans="7:15" x14ac:dyDescent="0.25">
      <c r="G33" s="46" t="s">
        <v>174</v>
      </c>
      <c r="H33" s="54" t="str">
        <f>PRORRATEO!E30</f>
        <v>Nelida</v>
      </c>
      <c r="I33" s="49"/>
      <c r="J33" s="49"/>
      <c r="K33" s="49"/>
      <c r="L33" s="49"/>
      <c r="M33" s="47"/>
      <c r="N33" s="46"/>
      <c r="O33" s="47"/>
    </row>
    <row r="34" spans="7:15" x14ac:dyDescent="0.25">
      <c r="G34" s="46"/>
      <c r="H34" s="49"/>
      <c r="I34" s="49"/>
      <c r="J34" s="49"/>
      <c r="K34" s="49"/>
      <c r="L34" s="49"/>
      <c r="M34" s="47"/>
      <c r="N34" s="177"/>
      <c r="O34" s="176"/>
    </row>
    <row r="35" spans="7:15" x14ac:dyDescent="0.25">
      <c r="G35" s="46"/>
      <c r="H35" s="49"/>
      <c r="I35" s="49"/>
      <c r="J35" s="49"/>
      <c r="K35" s="49"/>
      <c r="L35" s="49"/>
      <c r="M35" s="47"/>
      <c r="N35" s="46"/>
      <c r="O35" s="47"/>
    </row>
    <row r="36" spans="7:15" x14ac:dyDescent="0.25">
      <c r="G36" s="46"/>
      <c r="H36" s="49"/>
      <c r="I36" s="49"/>
      <c r="J36" s="49"/>
      <c r="K36" s="49"/>
      <c r="L36" s="49"/>
      <c r="M36" s="47"/>
      <c r="N36" s="46"/>
      <c r="O36" s="47"/>
    </row>
    <row r="37" spans="7:15" ht="15.75" thickBot="1" x14ac:dyDescent="0.3">
      <c r="G37" s="46"/>
      <c r="H37" s="49"/>
      <c r="I37" s="49"/>
      <c r="J37" s="49"/>
      <c r="K37" s="49"/>
      <c r="L37" s="49"/>
      <c r="M37" s="47"/>
      <c r="N37" s="55"/>
      <c r="O37" s="56"/>
    </row>
    <row r="38" spans="7:15" ht="15.75" thickBot="1" x14ac:dyDescent="0.3">
      <c r="G38" s="178" t="s">
        <v>175</v>
      </c>
      <c r="H38" s="179"/>
      <c r="I38" s="179"/>
      <c r="J38" s="179"/>
      <c r="K38" s="179"/>
      <c r="L38" s="180">
        <f>PRORRATEO!J30</f>
        <v>0</v>
      </c>
      <c r="M38" s="181"/>
      <c r="N38" s="57"/>
      <c r="O38" s="58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2025-06-29T21:00:26Z</cp:lastPrinted>
  <dcterms:created xsi:type="dcterms:W3CDTF">2023-09-17T12:29:07Z</dcterms:created>
  <dcterms:modified xsi:type="dcterms:W3CDTF">2025-07-08T16:30:20Z</dcterms:modified>
</cp:coreProperties>
</file>