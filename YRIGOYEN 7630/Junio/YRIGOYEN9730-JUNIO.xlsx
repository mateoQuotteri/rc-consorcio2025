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Junio\"/>
    </mc:Choice>
  </mc:AlternateContent>
  <xr:revisionPtr revIDLastSave="0" documentId="13_ncr:1_{27ECBA71-F2B4-4454-A2BF-51FE3ED538E9}" xr6:coauthVersionLast="47" xr6:coauthVersionMax="47" xr10:uidLastSave="{00000000-0000-0000-0000-000000000000}"/>
  <bookViews>
    <workbookView xWindow="-120" yWindow="-120" windowWidth="20730" windowHeight="11160" tabRatio="850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RESUMEN!$A$1:$E$132</definedName>
  </definedNames>
  <calcPr calcId="181029"/>
</workbook>
</file>

<file path=xl/calcChain.xml><?xml version="1.0" encoding="utf-8"?>
<calcChain xmlns="http://schemas.openxmlformats.org/spreadsheetml/2006/main">
  <c r="G49" i="1" l="1"/>
  <c r="E36" i="1"/>
  <c r="E56" i="1"/>
  <c r="E62" i="1"/>
  <c r="E70" i="1"/>
  <c r="F7" i="2"/>
  <c r="F19" i="2"/>
  <c r="F12" i="2"/>
  <c r="B123" i="1"/>
  <c r="F21" i="2"/>
  <c r="D59" i="1"/>
  <c r="D58" i="1"/>
  <c r="D38" i="1" l="1"/>
  <c r="E54" i="1"/>
  <c r="E55" i="1" s="1"/>
  <c r="A51" i="1"/>
  <c r="A52" i="1" s="1"/>
  <c r="F13" i="2" l="1"/>
  <c r="K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E49" i="1"/>
  <c r="F9" i="2" l="1"/>
  <c r="F11" i="2"/>
  <c r="F14" i="2"/>
  <c r="F15" i="2"/>
  <c r="F16" i="2"/>
  <c r="F17" i="2"/>
  <c r="F20" i="2"/>
  <c r="F23" i="2"/>
  <c r="F6" i="2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6" i="1" l="1"/>
  <c r="E91" i="1" s="1"/>
  <c r="B95" i="1" s="1"/>
  <c r="B111" i="1" l="1"/>
  <c r="B118" i="1"/>
  <c r="B131" i="1"/>
  <c r="B107" i="1" l="1"/>
  <c r="B121" i="1"/>
  <c r="E40" i="1"/>
  <c r="H20" i="2" l="1"/>
  <c r="D35" i="1" l="1"/>
  <c r="M5" i="2" l="1"/>
  <c r="D26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E44" i="1" l="1"/>
  <c r="F29" i="2" l="1"/>
  <c r="G29" i="2"/>
  <c r="D29" i="2"/>
  <c r="E29" i="2"/>
  <c r="B105" i="1" l="1"/>
  <c r="B122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6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4" i="1"/>
  <c r="A55" i="1" s="1"/>
  <c r="E74" i="1" l="1"/>
  <c r="E78" i="1" s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4" i="1"/>
  <c r="B117" i="1" s="1"/>
  <c r="B124" i="1" s="1"/>
  <c r="B110" i="1" l="1"/>
  <c r="B112" i="1" s="1"/>
  <c r="B93" i="1"/>
  <c r="L29" i="2" l="1"/>
  <c r="N29" i="2" l="1"/>
</calcChain>
</file>

<file path=xl/sharedStrings.xml><?xml version="1.0" encoding="utf-8"?>
<sst xmlns="http://schemas.openxmlformats.org/spreadsheetml/2006/main" count="138" uniqueCount="121">
  <si>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</si>
  <si>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</si>
  <si>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</si>
  <si>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</si>
  <si>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</si>
  <si>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</si>
  <si>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</si>
  <si>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</si>
  <si>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</si>
  <si>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</si>
  <si>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</si>
  <si>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</si>
  <si>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</si>
  <si>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</si>
  <si>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</si>
  <si>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</si>
  <si>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</si>
  <si>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</si>
  <si>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</si>
  <si>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</si>
  <si>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</si>
  <si>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</si>
  <si>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</si>
  <si>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</si>
  <si>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</si>
  <si>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</si>
  <si>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</si>
  <si>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</si>
  <si>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</si>
  <si>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</si>
  <si>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</si>
  <si>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</si>
  <si>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</si>
  <si>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</si>
  <si>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</si>
  <si>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</si>
  <si>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</si>
  <si>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</si>
  <si>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</si>
  <si>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</si>
  <si>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</si>
  <si>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</si>
  <si>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</si>
  <si>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</si>
  <si>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</si>
  <si>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</si>
  <si>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</si>
  <si>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</si>
  <si>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</si>
  <si>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</si>
  <si>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</si>
  <si>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</si>
  <si>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</si>
  <si>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</si>
  <si>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</si>
  <si>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</si>
  <si>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</si>
  <si>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</si>
  <si>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</si>
  <si>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</si>
  <si>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</si>
  <si>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</si>
  <si>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</si>
  <si>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</si>
  <si>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</si>
  <si>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</si>
  <si>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</si>
  <si>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</si>
  <si>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</si>
  <si>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</si>
  <si>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</si>
  <si>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</si>
  <si>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</si>
  <si>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</si>
  <si>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</si>
  <si>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</si>
  <si>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</si>
  <si>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</si>
  <si>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</si>
  <si>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</si>
  <si>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</si>
  <si>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</si>
  <si>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</si>
  <si>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</si>
  <si>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</si>
  <si>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</si>
  <si>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</si>
  <si>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>HONORARIOS ADMINISTRACION RC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</si>
  <si>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</si>
  <si>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</si>
  <si>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</si>
  <si>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</si>
  <si>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</si>
  <si>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</si>
  <si>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</si>
  <si>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</si>
  <si>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</si>
  <si>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VTO 14/07</t>
  </si>
  <si>
    <t>PERÍODO: JUNIO</t>
  </si>
  <si>
    <t>Sindicatos mes de JUNIO</t>
  </si>
  <si>
    <t>Romanatti carlos - Certificacion copias digitales</t>
  </si>
  <si>
    <t>Ascensores lema - Mantenimiento mayo</t>
  </si>
  <si>
    <t>Ascensores lema - Mantenimiento abril</t>
  </si>
  <si>
    <t>Debito 09/06</t>
  </si>
  <si>
    <t>Mes anterior</t>
  </si>
  <si>
    <t>Sindicatos mes de MAYO</t>
  </si>
  <si>
    <t>Debito 12/06</t>
  </si>
  <si>
    <t>Debito 13/06</t>
  </si>
  <si>
    <t>Debito 17/06</t>
  </si>
  <si>
    <t>Articulos de limpieza</t>
  </si>
  <si>
    <t>GUSTAVO PADRON - SR CONTADOR - ABRIL Y MAYO</t>
  </si>
  <si>
    <t>Transf 12/06</t>
  </si>
  <si>
    <t>Fumigaciones Lanus - Servicio de fumigacion - Mes de abril</t>
  </si>
  <si>
    <t>Efectivo 09/06</t>
  </si>
  <si>
    <t>Incluye SAC</t>
  </si>
  <si>
    <t>Adelanto arreglo Julio Doartero - Cambio de caño cloacal UF 14</t>
  </si>
  <si>
    <t>Transf 30/06</t>
  </si>
  <si>
    <t>Ingeso ya identificado de UF 7 Abril</t>
  </si>
  <si>
    <t>Ingreso ya identificado de UF 7 Mayo</t>
  </si>
  <si>
    <t>laurasmiet@gmail.com</t>
  </si>
  <si>
    <t>AGREGAR A LA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</si>
</sst>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165" fontId="2" fillId="11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164" fontId="6" fillId="4" borderId="21" xfId="1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4" fontId="6" fillId="4" borderId="13" xfId="1" applyNumberFormat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6" fillId="4" borderId="21" xfId="1" applyFont="1" applyFill="1" applyBorder="1"/>
    <xf numFmtId="0" fontId="0" fillId="4" borderId="1" xfId="0" applyFill="1" applyBorder="1"/>
    <xf numFmtId="165" fontId="3" fillId="4" borderId="3" xfId="1" applyFont="1" applyFill="1" applyBorder="1"/>
    <xf numFmtId="165" fontId="0" fillId="2" borderId="1" xfId="1" applyFont="1" applyFill="1" applyBorder="1"/>
    <xf numFmtId="165" fontId="6" fillId="4" borderId="13" xfId="1" applyFont="1" applyFill="1" applyBorder="1"/>
    <xf numFmtId="165" fontId="6" fillId="4" borderId="2" xfId="1" applyFont="1" applyFill="1" applyBorder="1"/>
    <xf numFmtId="165" fontId="3" fillId="2" borderId="3" xfId="1" applyFont="1" applyFill="1" applyBorder="1"/>
    <xf numFmtId="168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165" fontId="23" fillId="0" borderId="1" xfId="1" applyFont="1" applyBorder="1"/>
    <xf numFmtId="0" fontId="0" fillId="0" borderId="6" xfId="0" applyBorder="1" applyAlignment="1">
      <alignment horizontal="left" vertical="center"/>
    </xf>
    <xf numFmtId="170" fontId="0" fillId="3" borderId="0" xfId="0" applyNumberFormat="1" applyFill="1"/>
    <xf numFmtId="167" fontId="16" fillId="0" borderId="6" xfId="1" applyNumberFormat="1" applyFont="1" applyBorder="1"/>
    <xf numFmtId="164" fontId="26" fillId="10" borderId="1" xfId="0" applyNumberFormat="1" applyFont="1" applyFill="1" applyBorder="1"/>
    <xf numFmtId="164" fontId="4" fillId="2" borderId="6" xfId="0" applyNumberFormat="1" applyFont="1" applyFill="1" applyBorder="1"/>
    <xf numFmtId="164" fontId="26" fillId="10" borderId="6" xfId="0" applyNumberFormat="1" applyFont="1" applyFill="1" applyBorder="1"/>
    <xf numFmtId="164" fontId="8" fillId="4" borderId="6" xfId="0" applyNumberFormat="1" applyFont="1" applyFill="1" applyBorder="1"/>
    <xf numFmtId="164" fontId="12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5" fontId="8" fillId="4" borderId="6" xfId="1" applyFont="1" applyFill="1" applyBorder="1"/>
    <xf numFmtId="165" fontId="8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0" borderId="1" xfId="1" applyFont="1" applyBorder="1"/>
    <xf numFmtId="165" fontId="4" fillId="4" borderId="6" xfId="1" applyFont="1" applyFill="1" applyBorder="1"/>
    <xf numFmtId="165" fontId="8" fillId="4" borderId="6" xfId="1" applyFont="1" applyFill="1" applyBorder="1" applyAlignment="1">
      <alignment horizontal="center"/>
    </xf>
    <xf numFmtId="168" fontId="0" fillId="2" borderId="0" xfId="1" applyNumberFormat="1" applyFont="1" applyFill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5" fontId="27" fillId="0" borderId="1" xfId="1" applyFont="1" applyBorder="1" applyAlignment="1">
      <alignment horizontal="left" vertical="center" wrapText="1"/>
    </xf>
    <xf numFmtId="165" fontId="27" fillId="0" borderId="1" xfId="0" applyNumberFormat="1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28" fillId="0" borderId="0" xfId="3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opLeftCell="A93" workbookViewId="0">
      <selection activeCell="E77" sqref="E7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60</v>
      </c>
      <c r="C1" s="71"/>
      <c r="D1" s="71"/>
      <c r="E1" s="72"/>
    </row>
    <row r="2" spans="1:5" x14ac:dyDescent="0.25">
      <c r="A2" s="16"/>
      <c r="B2" s="73" t="s">
        <v>29</v>
      </c>
      <c r="C2" s="73"/>
      <c r="D2" s="73"/>
      <c r="E2" s="74"/>
    </row>
    <row r="3" spans="1:5" ht="70.5" customHeight="1" thickBot="1" x14ac:dyDescent="0.3">
      <c r="A3" s="16"/>
      <c r="B3" s="197" t="s">
        <v>86</v>
      </c>
      <c r="C3" s="197"/>
      <c r="D3" s="197"/>
      <c r="E3" s="198"/>
    </row>
    <row r="4" spans="1:5" ht="15.75" thickBot="1" x14ac:dyDescent="0.3">
      <c r="A4" s="19" t="s">
        <v>0</v>
      </c>
      <c r="B4" s="102" t="s">
        <v>42</v>
      </c>
      <c r="C4" s="20"/>
      <c r="D4" s="20"/>
      <c r="E4" s="21"/>
    </row>
    <row r="5" spans="1:5" ht="15.75" thickBot="1" x14ac:dyDescent="0.3">
      <c r="A5" s="16" t="s">
        <v>62</v>
      </c>
      <c r="B5" s="20" t="s">
        <v>98</v>
      </c>
      <c r="C5" s="17"/>
      <c r="D5" s="73" t="s">
        <v>30</v>
      </c>
      <c r="E5" s="18"/>
    </row>
    <row r="6" spans="1:5" ht="15.75" thickBot="1" x14ac:dyDescent="0.3">
      <c r="A6" s="19" t="s">
        <v>61</v>
      </c>
      <c r="B6" s="20"/>
      <c r="C6" s="20"/>
      <c r="D6" s="20" t="s">
        <v>31</v>
      </c>
      <c r="E6" s="21"/>
    </row>
    <row r="8" spans="1:5" x14ac:dyDescent="0.25">
      <c r="B8" s="202" t="s">
        <v>97</v>
      </c>
      <c r="C8" s="202"/>
    </row>
    <row r="9" spans="1:5" x14ac:dyDescent="0.25">
      <c r="B9" s="202"/>
      <c r="C9" s="202"/>
    </row>
    <row r="10" spans="1:5" x14ac:dyDescent="0.25">
      <c r="B10" s="202"/>
      <c r="C10" s="202"/>
    </row>
    <row r="12" spans="1:5" hidden="1" x14ac:dyDescent="0.25"/>
    <row r="13" spans="1:5" ht="15" customHeight="1" x14ac:dyDescent="0.25">
      <c r="A13" s="201" t="s">
        <v>47</v>
      </c>
      <c r="B13" s="201"/>
      <c r="C13" s="201"/>
      <c r="D13" s="201"/>
      <c r="E13" s="201"/>
    </row>
    <row r="14" spans="1:5" ht="15" customHeight="1" x14ac:dyDescent="0.25">
      <c r="A14" s="201"/>
      <c r="B14" s="201"/>
      <c r="C14" s="201"/>
      <c r="D14" s="201"/>
      <c r="E14" s="201"/>
    </row>
    <row r="15" spans="1:5" ht="15" customHeight="1" x14ac:dyDescent="0.25">
      <c r="A15" s="201"/>
      <c r="B15" s="201"/>
      <c r="C15" s="201"/>
      <c r="D15" s="201"/>
      <c r="E15" s="201"/>
    </row>
    <row r="16" spans="1:5" ht="53.25" customHeight="1" x14ac:dyDescent="0.25">
      <c r="A16" s="201"/>
      <c r="B16" s="201"/>
      <c r="C16" s="201"/>
      <c r="D16" s="201"/>
      <c r="E16" s="201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36</v>
      </c>
      <c r="B21" s="36"/>
      <c r="C21" s="36"/>
      <c r="D21" s="35"/>
      <c r="E21" s="35"/>
    </row>
    <row r="22" spans="1:7" ht="12.75" customHeight="1" x14ac:dyDescent="0.25">
      <c r="A22" s="5" t="s">
        <v>81</v>
      </c>
      <c r="B22" s="5" t="s">
        <v>114</v>
      </c>
      <c r="C22" s="5"/>
      <c r="D22" s="163">
        <v>1074415</v>
      </c>
      <c r="E22" s="5"/>
    </row>
    <row r="23" spans="1:7" hidden="1" x14ac:dyDescent="0.25">
      <c r="A23" s="5"/>
      <c r="B23" s="5"/>
      <c r="C23" s="5"/>
      <c r="D23" s="163"/>
      <c r="E23" s="5"/>
    </row>
    <row r="24" spans="1:7" hidden="1" x14ac:dyDescent="0.25">
      <c r="A24" s="5"/>
      <c r="B24" s="5"/>
      <c r="C24" s="5"/>
      <c r="D24" s="163"/>
      <c r="E24" s="5"/>
    </row>
    <row r="25" spans="1:7" hidden="1" x14ac:dyDescent="0.25">
      <c r="A25" s="5" t="s">
        <v>37</v>
      </c>
      <c r="B25" s="5"/>
      <c r="C25" s="5"/>
      <c r="D25" s="163">
        <v>0</v>
      </c>
      <c r="E25" s="5"/>
    </row>
    <row r="26" spans="1:7" x14ac:dyDescent="0.25">
      <c r="A26" s="59" t="s">
        <v>38</v>
      </c>
      <c r="B26" s="59"/>
      <c r="C26" s="59"/>
      <c r="D26" s="174">
        <f>SUM(D22:D25)</f>
        <v>1074415</v>
      </c>
      <c r="E26" s="146"/>
      <c r="G26" s="22"/>
    </row>
    <row r="27" spans="1:7" ht="14.25" hidden="1" customHeight="1" x14ac:dyDescent="0.25">
      <c r="A27" s="5" t="s">
        <v>49</v>
      </c>
      <c r="B27" s="5"/>
      <c r="C27" s="5"/>
      <c r="D27" s="163"/>
      <c r="E27" s="5"/>
    </row>
    <row r="28" spans="1:7" hidden="1" x14ac:dyDescent="0.25">
      <c r="A28" s="29"/>
      <c r="B28" s="5"/>
      <c r="C28" s="5"/>
      <c r="D28" s="163"/>
      <c r="E28" s="5"/>
    </row>
    <row r="29" spans="1:7" hidden="1" x14ac:dyDescent="0.25">
      <c r="A29" s="5"/>
      <c r="B29" s="5"/>
      <c r="C29" s="5"/>
      <c r="D29" s="163"/>
      <c r="E29" s="5"/>
    </row>
    <row r="30" spans="1:7" hidden="1" x14ac:dyDescent="0.25">
      <c r="A30" s="5"/>
      <c r="B30" s="5"/>
      <c r="C30" s="5"/>
      <c r="D30" s="175"/>
      <c r="E30" s="5"/>
    </row>
    <row r="31" spans="1:7" ht="0.75" hidden="1" customHeight="1" x14ac:dyDescent="0.25">
      <c r="A31" s="5" t="s">
        <v>44</v>
      </c>
      <c r="B31" s="5"/>
      <c r="C31" s="5"/>
      <c r="D31" s="175"/>
      <c r="E31" s="5"/>
    </row>
    <row r="32" spans="1:7" hidden="1" x14ac:dyDescent="0.25">
      <c r="A32" s="5" t="s">
        <v>43</v>
      </c>
      <c r="B32" s="5"/>
      <c r="C32" s="5"/>
      <c r="D32" s="175"/>
      <c r="E32" s="5"/>
    </row>
    <row r="33" spans="1:8" hidden="1" x14ac:dyDescent="0.25">
      <c r="A33" s="5" t="s">
        <v>39</v>
      </c>
      <c r="B33" s="5"/>
      <c r="C33" s="5"/>
      <c r="D33" s="175">
        <v>0</v>
      </c>
      <c r="E33" s="5"/>
    </row>
    <row r="34" spans="1:8" hidden="1" x14ac:dyDescent="0.25">
      <c r="A34" s="5"/>
      <c r="B34" s="5"/>
      <c r="C34" s="5"/>
      <c r="D34" s="175"/>
      <c r="E34" s="5"/>
    </row>
    <row r="35" spans="1:8" hidden="1" x14ac:dyDescent="0.25">
      <c r="A35" s="59" t="s">
        <v>38</v>
      </c>
      <c r="B35" s="59"/>
      <c r="C35" s="59"/>
      <c r="D35" s="176">
        <f>SUM(D27:D34)</f>
        <v>0</v>
      </c>
      <c r="E35" s="146"/>
    </row>
    <row r="36" spans="1:8" ht="15.75" thickBot="1" x14ac:dyDescent="0.3">
      <c r="A36" s="30" t="s">
        <v>1</v>
      </c>
      <c r="B36" s="30"/>
      <c r="C36" s="30"/>
      <c r="D36" s="177"/>
      <c r="E36" s="147">
        <f>D26+D35</f>
        <v>1074415</v>
      </c>
      <c r="F36" s="22"/>
    </row>
    <row r="37" spans="1:8" x14ac:dyDescent="0.25">
      <c r="A37" s="36" t="s">
        <v>19</v>
      </c>
      <c r="B37" s="36"/>
      <c r="C37" s="36"/>
      <c r="D37" s="178"/>
      <c r="E37" s="148"/>
    </row>
    <row r="38" spans="1:8" ht="15" customHeight="1" x14ac:dyDescent="0.25">
      <c r="A38" s="195" t="s">
        <v>110</v>
      </c>
      <c r="B38" s="196"/>
      <c r="C38" s="54"/>
      <c r="D38" s="163">
        <f>2*28000</f>
        <v>56000</v>
      </c>
      <c r="E38" s="149"/>
    </row>
    <row r="39" spans="1:8" ht="15" customHeight="1" thickBot="1" x14ac:dyDescent="0.3">
      <c r="A39" s="195" t="s">
        <v>87</v>
      </c>
      <c r="B39" s="196"/>
      <c r="C39" s="54"/>
      <c r="D39" s="179">
        <v>107000</v>
      </c>
      <c r="E39" s="149"/>
      <c r="H39" s="161"/>
    </row>
    <row r="40" spans="1:8" ht="15.75" thickBot="1" x14ac:dyDescent="0.3">
      <c r="A40" s="30" t="s">
        <v>16</v>
      </c>
      <c r="B40" s="30"/>
      <c r="C40" s="30"/>
      <c r="D40" s="180"/>
      <c r="E40" s="150">
        <f>SUM(D38:D39)</f>
        <v>163000</v>
      </c>
    </row>
    <row r="41" spans="1:8" x14ac:dyDescent="0.25">
      <c r="A41" s="36" t="s">
        <v>33</v>
      </c>
      <c r="B41" s="30"/>
      <c r="C41" s="30"/>
      <c r="D41" s="181"/>
      <c r="E41" s="151"/>
    </row>
    <row r="42" spans="1:8" s="39" customFormat="1" ht="14.25" customHeight="1" x14ac:dyDescent="0.25">
      <c r="A42" s="193" t="s">
        <v>84</v>
      </c>
      <c r="B42" s="194"/>
      <c r="C42" s="56"/>
      <c r="D42" s="182">
        <v>71883</v>
      </c>
      <c r="E42" s="152"/>
    </row>
    <row r="43" spans="1:8" ht="14.25" customHeight="1" x14ac:dyDescent="0.25">
      <c r="A43" s="193" t="s">
        <v>85</v>
      </c>
      <c r="B43" s="194"/>
      <c r="C43" s="56"/>
      <c r="D43" s="183">
        <v>131172</v>
      </c>
      <c r="E43" s="152"/>
    </row>
    <row r="44" spans="1:8" ht="15.75" thickBot="1" x14ac:dyDescent="0.3">
      <c r="A44" s="30" t="s">
        <v>2</v>
      </c>
      <c r="B44" s="30"/>
      <c r="C44" s="30"/>
      <c r="D44" s="180"/>
      <c r="E44" s="153">
        <f>SUM(D42:D43)</f>
        <v>203055</v>
      </c>
    </row>
    <row r="45" spans="1:8" x14ac:dyDescent="0.25">
      <c r="A45" s="36" t="s">
        <v>17</v>
      </c>
      <c r="B45" s="154"/>
      <c r="C45" s="154"/>
      <c r="D45" s="184"/>
      <c r="E45" s="155"/>
    </row>
    <row r="46" spans="1:8" x14ac:dyDescent="0.25">
      <c r="A46" s="5" t="s">
        <v>52</v>
      </c>
      <c r="B46" s="5"/>
      <c r="C46" s="54"/>
      <c r="D46" s="185">
        <v>516520.58</v>
      </c>
      <c r="E46" s="164" t="s">
        <v>106</v>
      </c>
      <c r="G46" s="128"/>
    </row>
    <row r="47" spans="1:8" x14ac:dyDescent="0.25">
      <c r="A47" s="5" t="s">
        <v>52</v>
      </c>
      <c r="B47" s="5" t="s">
        <v>104</v>
      </c>
      <c r="C47" s="54"/>
      <c r="D47" s="185">
        <v>516572.55</v>
      </c>
      <c r="E47" s="164" t="s">
        <v>106</v>
      </c>
      <c r="G47" s="128"/>
    </row>
    <row r="48" spans="1:8" x14ac:dyDescent="0.25">
      <c r="A48" s="5" t="s">
        <v>88</v>
      </c>
      <c r="B48" s="5"/>
      <c r="C48" s="54"/>
      <c r="D48" s="185">
        <v>10602.27</v>
      </c>
      <c r="E48" s="164" t="s">
        <v>108</v>
      </c>
    </row>
    <row r="49" spans="1:7" x14ac:dyDescent="0.25">
      <c r="A49" s="5" t="s">
        <v>88</v>
      </c>
      <c r="B49" s="5"/>
      <c r="C49" s="54"/>
      <c r="D49" s="185">
        <v>75532.289999999994</v>
      </c>
      <c r="E49" s="164" t="str">
        <f>E48</f>
        <v>Debito 17/06</v>
      </c>
      <c r="G49" s="144">
        <f>D49+D48</f>
        <v>86134.56</v>
      </c>
    </row>
    <row r="50" spans="1:7" x14ac:dyDescent="0.25">
      <c r="A50" s="5" t="s">
        <v>105</v>
      </c>
      <c r="B50" s="5"/>
      <c r="C50" s="54"/>
      <c r="D50" s="185">
        <v>42392.29</v>
      </c>
      <c r="E50" s="164" t="s">
        <v>106</v>
      </c>
    </row>
    <row r="51" spans="1:7" x14ac:dyDescent="0.25">
      <c r="A51" s="5" t="str">
        <f>A50</f>
        <v>Sindicatos mes de MAYO</v>
      </c>
      <c r="B51" s="5"/>
      <c r="C51" s="54"/>
      <c r="D51" s="185">
        <v>73233.31</v>
      </c>
      <c r="E51" s="164" t="s">
        <v>106</v>
      </c>
    </row>
    <row r="52" spans="1:7" x14ac:dyDescent="0.25">
      <c r="A52" s="5" t="str">
        <f>A51</f>
        <v>Sindicatos mes de MAYO</v>
      </c>
      <c r="B52" s="5"/>
      <c r="C52" s="54"/>
      <c r="D52" s="185">
        <v>4710.25</v>
      </c>
      <c r="E52" s="164" t="s">
        <v>106</v>
      </c>
    </row>
    <row r="53" spans="1:7" x14ac:dyDescent="0.25">
      <c r="A53" s="5" t="s">
        <v>99</v>
      </c>
      <c r="B53" s="5"/>
      <c r="C53" s="5"/>
      <c r="D53" s="167">
        <v>60556.13</v>
      </c>
      <c r="E53" s="164" t="s">
        <v>107</v>
      </c>
    </row>
    <row r="54" spans="1:7" x14ac:dyDescent="0.25">
      <c r="A54" s="5" t="str">
        <f>A53</f>
        <v>Sindicatos mes de JUNIO</v>
      </c>
      <c r="B54" s="5"/>
      <c r="C54" s="5"/>
      <c r="D54" s="167">
        <v>3695.7</v>
      </c>
      <c r="E54" s="165" t="str">
        <f>E53</f>
        <v>Debito 13/06</v>
      </c>
    </row>
    <row r="55" spans="1:7" x14ac:dyDescent="0.25">
      <c r="A55" s="5" t="str">
        <f>A54</f>
        <v>Sindicatos mes de JUNIO</v>
      </c>
      <c r="B55" s="5"/>
      <c r="C55" s="5"/>
      <c r="D55" s="167">
        <v>33261.300000000003</v>
      </c>
      <c r="E55" s="166" t="str">
        <f>E54</f>
        <v>Debito 13/06</v>
      </c>
    </row>
    <row r="56" spans="1:7" ht="15" customHeight="1" thickBot="1" x14ac:dyDescent="0.3">
      <c r="A56" s="30" t="s">
        <v>3</v>
      </c>
      <c r="B56" s="154"/>
      <c r="C56" s="154"/>
      <c r="D56" s="186"/>
      <c r="E56" s="153">
        <f>SUM(D46:D55)</f>
        <v>1337076.67</v>
      </c>
    </row>
    <row r="57" spans="1:7" x14ac:dyDescent="0.25">
      <c r="A57" s="36" t="s">
        <v>18</v>
      </c>
      <c r="B57" s="154"/>
      <c r="C57" s="154"/>
      <c r="D57" s="184"/>
      <c r="E57" s="155"/>
    </row>
    <row r="58" spans="1:7" ht="14.25" customHeight="1" x14ac:dyDescent="0.25">
      <c r="A58" s="5" t="s">
        <v>83</v>
      </c>
      <c r="B58" s="5"/>
      <c r="C58" s="5"/>
      <c r="D58" s="167">
        <f>89284.14-35225.95</f>
        <v>54058.19</v>
      </c>
      <c r="E58" s="164" t="s">
        <v>113</v>
      </c>
    </row>
    <row r="59" spans="1:7" ht="14.25" customHeight="1" x14ac:dyDescent="0.25">
      <c r="A59" s="5" t="s">
        <v>90</v>
      </c>
      <c r="B59" s="167"/>
      <c r="C59" s="5"/>
      <c r="D59" s="167">
        <f>54218.7-17757.17</f>
        <v>36461.53</v>
      </c>
      <c r="E59" s="164" t="s">
        <v>113</v>
      </c>
    </row>
    <row r="60" spans="1:7" x14ac:dyDescent="0.25">
      <c r="A60" s="5" t="s">
        <v>89</v>
      </c>
      <c r="B60" s="5"/>
      <c r="C60" s="5"/>
      <c r="D60" s="167">
        <v>25728.934000000001</v>
      </c>
      <c r="E60" s="164" t="s">
        <v>103</v>
      </c>
    </row>
    <row r="61" spans="1:7" x14ac:dyDescent="0.25">
      <c r="A61" s="193" t="s">
        <v>82</v>
      </c>
      <c r="B61" s="194"/>
      <c r="C61" s="5"/>
      <c r="D61" s="167">
        <v>355815.42</v>
      </c>
      <c r="E61" s="164" t="s">
        <v>103</v>
      </c>
    </row>
    <row r="62" spans="1:7" ht="15.75" thickBot="1" x14ac:dyDescent="0.3">
      <c r="A62" s="30" t="s">
        <v>4</v>
      </c>
      <c r="B62" s="30"/>
      <c r="C62" s="30"/>
      <c r="D62" s="187"/>
      <c r="E62" s="153">
        <f>SUM(D58:D61)</f>
        <v>472064.07400000002</v>
      </c>
    </row>
    <row r="63" spans="1:7" ht="15" customHeight="1" thickBot="1" x14ac:dyDescent="0.3">
      <c r="A63" s="36"/>
      <c r="B63" s="30"/>
      <c r="C63" s="30"/>
      <c r="D63" s="180"/>
      <c r="E63" s="157"/>
    </row>
    <row r="64" spans="1:7" ht="20.100000000000001" customHeight="1" x14ac:dyDescent="0.25">
      <c r="A64" s="199" t="s">
        <v>100</v>
      </c>
      <c r="B64" s="200"/>
      <c r="C64" s="5"/>
      <c r="D64" s="167">
        <v>229307.1</v>
      </c>
      <c r="E64" s="168" t="s">
        <v>111</v>
      </c>
    </row>
    <row r="65" spans="1:10" ht="20.100000000000001" customHeight="1" x14ac:dyDescent="0.25">
      <c r="A65" s="171" t="s">
        <v>101</v>
      </c>
      <c r="B65" s="162"/>
      <c r="C65" s="5"/>
      <c r="D65" s="167">
        <v>54500</v>
      </c>
      <c r="E65" s="168" t="s">
        <v>111</v>
      </c>
    </row>
    <row r="66" spans="1:10" ht="20.100000000000001" customHeight="1" x14ac:dyDescent="0.25">
      <c r="A66" s="195" t="s">
        <v>102</v>
      </c>
      <c r="B66" s="196"/>
      <c r="C66" s="5"/>
      <c r="D66" s="167">
        <v>54500</v>
      </c>
      <c r="E66" s="168" t="s">
        <v>111</v>
      </c>
    </row>
    <row r="67" spans="1:10" ht="20.100000000000001" customHeight="1" x14ac:dyDescent="0.25">
      <c r="A67" s="189" t="s">
        <v>109</v>
      </c>
      <c r="B67" s="190"/>
      <c r="C67" s="5"/>
      <c r="D67" s="110">
        <v>75810</v>
      </c>
      <c r="E67" s="169"/>
    </row>
    <row r="68" spans="1:10" ht="20.100000000000001" customHeight="1" x14ac:dyDescent="0.25">
      <c r="A68" s="195" t="s">
        <v>112</v>
      </c>
      <c r="B68" s="196"/>
      <c r="C68" s="5"/>
      <c r="D68" s="110">
        <v>30000</v>
      </c>
      <c r="E68" s="168" t="s">
        <v>111</v>
      </c>
    </row>
    <row r="69" spans="1:10" ht="20.100000000000001" customHeight="1" x14ac:dyDescent="0.25">
      <c r="A69" s="193" t="s">
        <v>115</v>
      </c>
      <c r="B69" s="194"/>
      <c r="C69" s="5"/>
      <c r="D69" s="110">
        <v>300000</v>
      </c>
      <c r="E69" s="170" t="s">
        <v>116</v>
      </c>
      <c r="I69" s="193"/>
      <c r="J69" s="194"/>
    </row>
    <row r="70" spans="1:10" ht="15.75" thickBot="1" x14ac:dyDescent="0.3">
      <c r="A70" s="30" t="s">
        <v>9</v>
      </c>
      <c r="B70" s="36"/>
      <c r="C70" s="36"/>
      <c r="D70" s="35"/>
      <c r="E70" s="158">
        <f>SUM(D64:D69)</f>
        <v>744117.1</v>
      </c>
    </row>
    <row r="71" spans="1:10" ht="15.75" thickBot="1" x14ac:dyDescent="0.3">
      <c r="A71" s="36" t="s">
        <v>12</v>
      </c>
      <c r="B71" s="69"/>
      <c r="C71" s="30"/>
      <c r="D71" s="177"/>
      <c r="E71" s="157"/>
    </row>
    <row r="72" spans="1:10" x14ac:dyDescent="0.25">
      <c r="A72" s="5" t="s">
        <v>12</v>
      </c>
      <c r="B72" s="5"/>
      <c r="C72" s="5"/>
      <c r="D72" s="167">
        <v>33531.78</v>
      </c>
      <c r="E72" s="159"/>
    </row>
    <row r="73" spans="1:10" x14ac:dyDescent="0.25">
      <c r="A73" s="5"/>
      <c r="B73" s="5"/>
      <c r="C73" s="5"/>
      <c r="D73" s="156"/>
      <c r="E73" s="41"/>
    </row>
    <row r="74" spans="1:10" ht="15.75" thickBot="1" x14ac:dyDescent="0.3">
      <c r="A74" s="53" t="s">
        <v>16</v>
      </c>
      <c r="B74" s="53"/>
      <c r="C74" s="53"/>
      <c r="D74" s="113"/>
      <c r="E74" s="107">
        <f>SUM(D72:D73)</f>
        <v>33531.78</v>
      </c>
    </row>
    <row r="75" spans="1:10" ht="15.75" thickBot="1" x14ac:dyDescent="0.3">
      <c r="A75" s="5"/>
      <c r="B75" s="5"/>
      <c r="C75" s="5"/>
      <c r="D75" s="106"/>
      <c r="E75" s="114"/>
    </row>
    <row r="76" spans="1:10" ht="15.75" thickBot="1" x14ac:dyDescent="0.3">
      <c r="A76" s="31" t="s">
        <v>55</v>
      </c>
      <c r="B76" s="31"/>
      <c r="C76" s="31"/>
      <c r="D76" s="115"/>
      <c r="E76" s="116"/>
    </row>
    <row r="77" spans="1:10" ht="15.75" thickBot="1" x14ac:dyDescent="0.3">
      <c r="A77" s="1"/>
      <c r="D77" s="117"/>
      <c r="E77" s="118"/>
      <c r="F77" s="45"/>
    </row>
    <row r="78" spans="1:10" ht="15.75" thickBot="1" x14ac:dyDescent="0.3">
      <c r="A78" s="3" t="s">
        <v>13</v>
      </c>
      <c r="B78" s="10"/>
      <c r="C78" s="4"/>
      <c r="D78" s="119"/>
      <c r="E78" s="120">
        <f>(SUM(E29:E76))</f>
        <v>4027259.6239999998</v>
      </c>
      <c r="F78" s="144"/>
      <c r="G78" s="45"/>
    </row>
    <row r="79" spans="1:10" x14ac:dyDescent="0.25">
      <c r="D79" s="117"/>
      <c r="E79" s="117"/>
    </row>
    <row r="80" spans="1:10" ht="15.75" thickBot="1" x14ac:dyDescent="0.3">
      <c r="D80" s="117"/>
      <c r="E80" s="117"/>
      <c r="H80" s="188"/>
    </row>
    <row r="81" spans="1:5" x14ac:dyDescent="0.25">
      <c r="A81" s="11" t="s">
        <v>50</v>
      </c>
      <c r="B81" s="12"/>
      <c r="C81" s="13"/>
      <c r="D81" s="121"/>
      <c r="E81" s="122"/>
    </row>
    <row r="82" spans="1:5" ht="15" customHeight="1" x14ac:dyDescent="0.25">
      <c r="A82" s="193"/>
      <c r="B82" s="194"/>
      <c r="C82" s="5"/>
      <c r="D82" s="132"/>
      <c r="E82" s="108"/>
    </row>
    <row r="83" spans="1:5" x14ac:dyDescent="0.25">
      <c r="A83" s="193"/>
      <c r="B83" s="194"/>
      <c r="C83" s="5"/>
      <c r="D83" s="110"/>
      <c r="E83" s="108"/>
    </row>
    <row r="84" spans="1:5" ht="15.75" customHeight="1" x14ac:dyDescent="0.25">
      <c r="A84" s="195"/>
      <c r="B84" s="196"/>
      <c r="C84" s="5"/>
      <c r="D84" s="110"/>
      <c r="E84" s="108"/>
    </row>
    <row r="85" spans="1:5" x14ac:dyDescent="0.25">
      <c r="A85" s="109"/>
      <c r="B85" s="111"/>
      <c r="C85" s="5"/>
      <c r="D85" s="110"/>
      <c r="E85" s="108"/>
    </row>
    <row r="86" spans="1:5" x14ac:dyDescent="0.25">
      <c r="A86" s="51"/>
      <c r="B86" s="50"/>
      <c r="C86" s="50"/>
      <c r="D86" s="60"/>
      <c r="E86" s="60">
        <f>SUM(D82:D85)</f>
        <v>0</v>
      </c>
    </row>
    <row r="87" spans="1:5" ht="15" customHeight="1" x14ac:dyDescent="0.25"/>
    <row r="88" spans="1:5" ht="15.75" hidden="1" thickBot="1" x14ac:dyDescent="0.3"/>
    <row r="89" spans="1:5" ht="15.75" thickBot="1" x14ac:dyDescent="0.3">
      <c r="A89" s="31" t="s">
        <v>20</v>
      </c>
      <c r="B89" s="31"/>
      <c r="C89" s="31"/>
      <c r="D89" s="32"/>
      <c r="E89" s="105"/>
    </row>
    <row r="90" spans="1:5" ht="15.75" thickBot="1" x14ac:dyDescent="0.3"/>
    <row r="91" spans="1:5" ht="15.75" thickBot="1" x14ac:dyDescent="0.3">
      <c r="A91" s="3" t="s">
        <v>21</v>
      </c>
      <c r="B91" s="10"/>
      <c r="C91" s="4"/>
      <c r="D91" s="4"/>
      <c r="E91" s="70">
        <f>E86+E89</f>
        <v>0</v>
      </c>
    </row>
    <row r="92" spans="1:5" ht="15.75" thickBot="1" x14ac:dyDescent="0.3"/>
    <row r="93" spans="1:5" ht="15.75" thickBot="1" x14ac:dyDescent="0.3">
      <c r="A93" s="103" t="s">
        <v>14</v>
      </c>
      <c r="B93" s="104">
        <f>E78</f>
        <v>4027259.6239999998</v>
      </c>
    </row>
    <row r="94" spans="1:5" ht="15.75" thickBot="1" x14ac:dyDescent="0.3">
      <c r="A94" s="103" t="s">
        <v>15</v>
      </c>
      <c r="B94" s="104">
        <f>E78-E76</f>
        <v>4027259.6239999998</v>
      </c>
    </row>
    <row r="95" spans="1:5" ht="15.75" thickBot="1" x14ac:dyDescent="0.3">
      <c r="A95" s="103" t="s">
        <v>22</v>
      </c>
      <c r="B95" s="104">
        <f>E91-E89</f>
        <v>0</v>
      </c>
    </row>
    <row r="96" spans="1:5" ht="15.75" thickBot="1" x14ac:dyDescent="0.3">
      <c r="A96" s="103" t="s">
        <v>45</v>
      </c>
      <c r="B96" s="104">
        <f>E91</f>
        <v>0</v>
      </c>
    </row>
    <row r="97" spans="1:5" ht="73.5" customHeight="1" x14ac:dyDescent="0.25"/>
    <row r="98" spans="1:5" ht="34.5" hidden="1" customHeight="1" x14ac:dyDescent="0.25"/>
    <row r="99" spans="1:5" hidden="1" x14ac:dyDescent="0.25">
      <c r="A99" s="203"/>
      <c r="B99" s="203"/>
      <c r="C99" s="203"/>
      <c r="D99" s="203"/>
      <c r="E99" s="203"/>
    </row>
    <row r="100" spans="1:5" ht="106.5" hidden="1" customHeight="1" x14ac:dyDescent="0.25">
      <c r="A100" s="203"/>
      <c r="B100" s="203"/>
      <c r="C100" s="203"/>
      <c r="D100" s="203"/>
      <c r="E100" s="203"/>
    </row>
    <row r="101" spans="1:5" ht="15.75" hidden="1" customHeight="1" x14ac:dyDescent="0.25">
      <c r="A101" s="203"/>
      <c r="B101" s="203"/>
      <c r="C101" s="203"/>
      <c r="D101" s="203"/>
      <c r="E101" s="203"/>
    </row>
    <row r="103" spans="1:5" ht="0.75" customHeight="1" x14ac:dyDescent="0.25">
      <c r="A103" s="23" t="s">
        <v>35</v>
      </c>
      <c r="B103" s="129"/>
      <c r="C103" s="24"/>
    </row>
    <row r="104" spans="1:5" hidden="1" x14ac:dyDescent="0.25">
      <c r="A104" s="34"/>
      <c r="B104" s="61">
        <v>0</v>
      </c>
      <c r="C104" s="26"/>
    </row>
    <row r="105" spans="1:5" ht="14.25" hidden="1" customHeight="1" x14ac:dyDescent="0.25">
      <c r="A105" s="25" t="s">
        <v>7</v>
      </c>
      <c r="B105" s="41">
        <f>PRORRATEO!F29</f>
        <v>2620698.6400000006</v>
      </c>
      <c r="C105" s="24"/>
    </row>
    <row r="106" spans="1:5" hidden="1" x14ac:dyDescent="0.25">
      <c r="A106" s="25"/>
      <c r="B106" s="41">
        <v>0</v>
      </c>
      <c r="C106" s="24"/>
    </row>
    <row r="107" spans="1:5" hidden="1" x14ac:dyDescent="0.25">
      <c r="A107" s="25" t="s">
        <v>46</v>
      </c>
      <c r="B107" s="112">
        <f>B131</f>
        <v>0</v>
      </c>
      <c r="C107" s="24"/>
    </row>
    <row r="108" spans="1:5" hidden="1" x14ac:dyDescent="0.25">
      <c r="A108" s="28"/>
      <c r="B108" s="49"/>
      <c r="C108" s="24"/>
    </row>
    <row r="109" spans="1:5" hidden="1" x14ac:dyDescent="0.25">
      <c r="A109" s="127" t="s">
        <v>51</v>
      </c>
      <c r="B109" s="49"/>
      <c r="C109" s="24"/>
    </row>
    <row r="110" spans="1:5" hidden="1" x14ac:dyDescent="0.25">
      <c r="A110" s="40" t="s">
        <v>23</v>
      </c>
      <c r="B110" s="49">
        <f>-B94</f>
        <v>-4027259.6239999998</v>
      </c>
      <c r="C110" s="24"/>
    </row>
    <row r="111" spans="1:5" hidden="1" x14ac:dyDescent="0.25">
      <c r="A111" s="28" t="s">
        <v>24</v>
      </c>
      <c r="B111" s="49">
        <f>-(B95)</f>
        <v>0</v>
      </c>
      <c r="C111" s="24"/>
    </row>
    <row r="112" spans="1:5" hidden="1" x14ac:dyDescent="0.25">
      <c r="A112" s="33" t="s">
        <v>9</v>
      </c>
      <c r="B112" s="61">
        <f>SUM(B104:B111)</f>
        <v>-1406560.9839999992</v>
      </c>
      <c r="C112" s="27"/>
      <c r="D112" s="45"/>
    </row>
    <row r="113" spans="1:6" ht="34.5" hidden="1" customHeight="1" x14ac:dyDescent="0.25">
      <c r="B113" s="42"/>
      <c r="C113" s="27"/>
      <c r="D113" s="45"/>
      <c r="E113" s="130"/>
      <c r="F113" s="131"/>
    </row>
    <row r="114" spans="1:6" ht="14.25" hidden="1" customHeight="1" x14ac:dyDescent="0.25">
      <c r="B114" s="43"/>
      <c r="C114" s="27"/>
    </row>
    <row r="115" spans="1:6" s="39" customFormat="1" ht="27" hidden="1" customHeight="1" x14ac:dyDescent="0.25">
      <c r="A115"/>
      <c r="B115" s="42"/>
      <c r="C115" s="38"/>
    </row>
    <row r="116" spans="1:6" s="39" customFormat="1" x14ac:dyDescent="0.25">
      <c r="A116" s="135" t="s">
        <v>96</v>
      </c>
      <c r="B116" s="136">
        <v>1598636.2300000009</v>
      </c>
      <c r="C116" s="38"/>
      <c r="D116" s="48"/>
    </row>
    <row r="117" spans="1:6" x14ac:dyDescent="0.25">
      <c r="A117" s="56" t="s">
        <v>56</v>
      </c>
      <c r="B117" s="141">
        <f>-B94</f>
        <v>-4027259.6239999998</v>
      </c>
    </row>
    <row r="118" spans="1:6" x14ac:dyDescent="0.25">
      <c r="A118" s="56" t="s">
        <v>57</v>
      </c>
      <c r="B118" s="141">
        <f>-B95</f>
        <v>0</v>
      </c>
    </row>
    <row r="119" spans="1:6" x14ac:dyDescent="0.25">
      <c r="A119" s="56" t="s">
        <v>117</v>
      </c>
      <c r="B119" s="192">
        <v>-129805</v>
      </c>
    </row>
    <row r="120" spans="1:6" x14ac:dyDescent="0.25">
      <c r="A120" s="56" t="s">
        <v>118</v>
      </c>
      <c r="B120" s="192">
        <v>-129843</v>
      </c>
    </row>
    <row r="121" spans="1:6" x14ac:dyDescent="0.25">
      <c r="A121" s="56" t="s">
        <v>94</v>
      </c>
      <c r="B121" s="141">
        <f>B131</f>
        <v>0</v>
      </c>
    </row>
    <row r="122" spans="1:6" x14ac:dyDescent="0.25">
      <c r="A122" s="56" t="s">
        <v>58</v>
      </c>
      <c r="B122" s="142">
        <f>PRORRATEO!F29</f>
        <v>2620698.6400000006</v>
      </c>
    </row>
    <row r="123" spans="1:6" x14ac:dyDescent="0.25">
      <c r="A123" s="143" t="s">
        <v>59</v>
      </c>
      <c r="B123" s="191">
        <f>-7906.2621-11800</f>
        <v>-19706.2621</v>
      </c>
    </row>
    <row r="124" spans="1:6" ht="15.75" thickBot="1" x14ac:dyDescent="0.3">
      <c r="A124" s="139" t="s">
        <v>53</v>
      </c>
      <c r="B124" s="140">
        <f>SUM(B116:C123)</f>
        <v>-87279.01609999832</v>
      </c>
    </row>
    <row r="125" spans="1:6" x14ac:dyDescent="0.25">
      <c r="A125" s="137"/>
      <c r="B125" s="137"/>
    </row>
    <row r="126" spans="1:6" ht="34.5" customHeight="1" x14ac:dyDescent="0.25"/>
    <row r="127" spans="1:6" x14ac:dyDescent="0.25">
      <c r="A127" s="204" t="s">
        <v>34</v>
      </c>
      <c r="B127" s="204"/>
      <c r="C127" s="204"/>
    </row>
    <row r="128" spans="1:6" x14ac:dyDescent="0.25">
      <c r="A128" s="204"/>
      <c r="B128" s="204"/>
      <c r="C128" s="204"/>
    </row>
    <row r="129" spans="1:13" ht="35.25" customHeight="1" x14ac:dyDescent="0.25">
      <c r="A129" s="124"/>
      <c r="B129" s="37"/>
      <c r="C129" s="37">
        <v>40000</v>
      </c>
      <c r="E129" s="144"/>
    </row>
    <row r="130" spans="1:13" ht="27" customHeight="1" x14ac:dyDescent="0.25">
      <c r="A130" s="124"/>
      <c r="B130" s="126"/>
      <c r="C130" s="123"/>
      <c r="D130" s="144"/>
    </row>
    <row r="131" spans="1:13" x14ac:dyDescent="0.25">
      <c r="A131" s="46" t="s">
        <v>9</v>
      </c>
      <c r="B131" s="125">
        <f>SUM(B129:B130)</f>
        <v>0</v>
      </c>
      <c r="C131" s="47"/>
    </row>
    <row r="132" spans="1:13" x14ac:dyDescent="0.25">
      <c r="M132" s="8"/>
    </row>
    <row r="133" spans="1:13" ht="15" customHeight="1" x14ac:dyDescent="0.25">
      <c r="A133" s="203"/>
      <c r="B133" s="203"/>
      <c r="C133" s="203"/>
      <c r="D133" s="203"/>
      <c r="E133" s="203"/>
    </row>
    <row r="134" spans="1:13" x14ac:dyDescent="0.25">
      <c r="A134" s="203"/>
      <c r="B134" s="203"/>
      <c r="C134" s="203"/>
      <c r="D134" s="203"/>
      <c r="E134" s="203"/>
    </row>
    <row r="135" spans="1:13" x14ac:dyDescent="0.25">
      <c r="A135" s="203"/>
      <c r="B135" s="203"/>
      <c r="C135" s="203"/>
      <c r="D135" s="203"/>
      <c r="E135" s="203"/>
    </row>
    <row r="136" spans="1:13" x14ac:dyDescent="0.25">
      <c r="A136" s="203"/>
      <c r="B136" s="203"/>
      <c r="C136" s="203"/>
      <c r="D136" s="203"/>
      <c r="E136" s="203"/>
    </row>
  </sheetData>
  <mergeCells count="19">
    <mergeCell ref="A133:E136"/>
    <mergeCell ref="A127:C128"/>
    <mergeCell ref="A99:E101"/>
    <mergeCell ref="A83:B83"/>
    <mergeCell ref="A82:B82"/>
    <mergeCell ref="A84:B84"/>
    <mergeCell ref="A61:B61"/>
    <mergeCell ref="A39:B39"/>
    <mergeCell ref="A38:B38"/>
    <mergeCell ref="B3:E3"/>
    <mergeCell ref="I69:J69"/>
    <mergeCell ref="A66:B66"/>
    <mergeCell ref="A68:B68"/>
    <mergeCell ref="A69:B69"/>
    <mergeCell ref="A64:B64"/>
    <mergeCell ref="A13:E16"/>
    <mergeCell ref="B8:C10"/>
    <mergeCell ref="A42:B42"/>
    <mergeCell ref="A43:B4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Normal="100" workbookViewId="0">
      <selection activeCell="E6" sqref="E6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6"/>
      <c r="O1" s="6"/>
    </row>
    <row r="2" spans="1:18" ht="12.95" customHeight="1" x14ac:dyDescent="0.25">
      <c r="A2" s="6"/>
      <c r="B2" s="6"/>
      <c r="C2" s="6"/>
      <c r="D2" s="6" t="s">
        <v>93</v>
      </c>
      <c r="E2" s="6"/>
      <c r="F2" s="172">
        <v>86134.56</v>
      </c>
      <c r="G2" s="6"/>
      <c r="H2" s="6"/>
      <c r="I2" s="6"/>
      <c r="J2" s="7"/>
      <c r="K2" s="6" t="s">
        <v>92</v>
      </c>
      <c r="L2" s="6"/>
      <c r="M2" s="134">
        <v>2800000</v>
      </c>
      <c r="N2" s="57"/>
      <c r="O2" s="57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25">
      <c r="A4" s="210" t="s">
        <v>5</v>
      </c>
      <c r="B4" s="210" t="s">
        <v>6</v>
      </c>
      <c r="C4" s="210" t="s">
        <v>27</v>
      </c>
      <c r="D4" s="210" t="s">
        <v>11</v>
      </c>
      <c r="E4" s="206" t="s">
        <v>54</v>
      </c>
      <c r="F4" s="210" t="s">
        <v>7</v>
      </c>
      <c r="G4" s="210" t="s">
        <v>28</v>
      </c>
      <c r="H4" s="212" t="s">
        <v>32</v>
      </c>
      <c r="I4" s="206" t="s">
        <v>48</v>
      </c>
      <c r="J4" s="206" t="s">
        <v>8</v>
      </c>
      <c r="K4" s="206" t="s">
        <v>26</v>
      </c>
      <c r="L4" s="215" t="s">
        <v>91</v>
      </c>
      <c r="M4" s="65" t="s">
        <v>41</v>
      </c>
      <c r="N4" s="208" t="s">
        <v>25</v>
      </c>
      <c r="O4" s="217" t="s">
        <v>40</v>
      </c>
      <c r="R4" s="45"/>
    </row>
    <row r="5" spans="1:18" ht="15.75" customHeight="1" x14ac:dyDescent="0.25">
      <c r="A5" s="211"/>
      <c r="B5" s="211"/>
      <c r="C5" s="219"/>
      <c r="D5" s="211"/>
      <c r="E5" s="207"/>
      <c r="F5" s="211"/>
      <c r="G5" s="219"/>
      <c r="H5" s="213"/>
      <c r="I5" s="207"/>
      <c r="J5" s="214"/>
      <c r="K5" s="207"/>
      <c r="L5" s="216"/>
      <c r="M5" s="63" t="str">
        <f>RESUMEN!B8</f>
        <v>VTO 14/07</v>
      </c>
      <c r="N5" s="209"/>
      <c r="O5" s="218"/>
    </row>
    <row r="6" spans="1:18" ht="17.100000000000001" customHeight="1" x14ac:dyDescent="0.25">
      <c r="A6" s="66">
        <v>1</v>
      </c>
      <c r="B6" s="66" t="s">
        <v>63</v>
      </c>
      <c r="C6" s="66"/>
      <c r="D6" s="75">
        <v>6.69</v>
      </c>
      <c r="E6" s="76">
        <v>167945.01</v>
      </c>
      <c r="F6" s="78">
        <f>E6</f>
        <v>167945.01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187320</v>
      </c>
      <c r="L6" s="173">
        <f>F$2*D6/100</f>
        <v>5762.4020639999999</v>
      </c>
      <c r="M6" s="83">
        <f>ROUND(SUM(H6:L6),0) + P6</f>
        <v>193082.01</v>
      </c>
      <c r="N6" s="84">
        <f>ROUND(M6*6% + M6,0) + P6</f>
        <v>204667.01</v>
      </c>
      <c r="O6" s="85">
        <f>ROUND(M6*3%,0) + M6</f>
        <v>198874.01</v>
      </c>
      <c r="P6" s="45">
        <v>0.01</v>
      </c>
    </row>
    <row r="7" spans="1:18" ht="17.100000000000001" customHeight="1" x14ac:dyDescent="0.25">
      <c r="A7" s="66">
        <f>A6+1</f>
        <v>2</v>
      </c>
      <c r="B7" s="66" t="s">
        <v>64</v>
      </c>
      <c r="C7" s="67"/>
      <c r="D7" s="75">
        <v>5.88</v>
      </c>
      <c r="E7" s="76">
        <v>251958.02</v>
      </c>
      <c r="F7" s="78">
        <f>2*100000</f>
        <v>200000</v>
      </c>
      <c r="G7" s="78"/>
      <c r="H7" s="79">
        <f t="shared" ref="H7:H23" si="0">E7-F7</f>
        <v>51958.01999999999</v>
      </c>
      <c r="I7" s="79">
        <f t="shared" ref="I7:I23" si="1">IF(H7&gt;0,H7*3%,0)</f>
        <v>1558.7405999999996</v>
      </c>
      <c r="J7" s="80">
        <v>0</v>
      </c>
      <c r="K7" s="81">
        <f t="shared" ref="K7:K23" si="2">M$2*D7%</f>
        <v>164640</v>
      </c>
      <c r="L7" s="173">
        <f t="shared" ref="L7:L23" si="3">F$2*D7/100</f>
        <v>5064.7121280000001</v>
      </c>
      <c r="M7" s="83">
        <f t="shared" ref="M7:M23" si="4">ROUND(SUM(H7:L7),0) + P7</f>
        <v>223221.02</v>
      </c>
      <c r="N7" s="84">
        <f t="shared" ref="N7:N23" si="5">ROUND(M7*6% + M7,0) + P7</f>
        <v>236614.02</v>
      </c>
      <c r="O7" s="85">
        <f t="shared" ref="O7:O23" si="6">ROUND(M7*3%,0) + M7</f>
        <v>229918.02</v>
      </c>
      <c r="P7" s="45">
        <f>P6+0.01</f>
        <v>0.02</v>
      </c>
      <c r="Q7" s="45"/>
    </row>
    <row r="8" spans="1:18" ht="17.100000000000001" customHeight="1" x14ac:dyDescent="0.25">
      <c r="A8" s="66">
        <f t="shared" ref="A8:A23" si="7">A7+1</f>
        <v>3</v>
      </c>
      <c r="B8" s="66" t="s">
        <v>65</v>
      </c>
      <c r="C8" s="67"/>
      <c r="D8" s="75">
        <v>6.65</v>
      </c>
      <c r="E8" s="76">
        <v>187041.03</v>
      </c>
      <c r="F8" s="78">
        <v>166726.03</v>
      </c>
      <c r="G8" s="78"/>
      <c r="H8" s="79">
        <f t="shared" si="0"/>
        <v>20315</v>
      </c>
      <c r="I8" s="79">
        <f t="shared" si="1"/>
        <v>609.44999999999993</v>
      </c>
      <c r="J8" s="80">
        <v>0</v>
      </c>
      <c r="K8" s="81">
        <f t="shared" si="2"/>
        <v>186200</v>
      </c>
      <c r="L8" s="173">
        <f t="shared" si="3"/>
        <v>5727.9482400000006</v>
      </c>
      <c r="M8" s="83">
        <f t="shared" si="4"/>
        <v>212852.03</v>
      </c>
      <c r="N8" s="84">
        <f t="shared" si="5"/>
        <v>225623.03</v>
      </c>
      <c r="O8" s="85">
        <f t="shared" si="6"/>
        <v>219238.03</v>
      </c>
      <c r="P8" s="45">
        <f t="shared" ref="P8:P24" si="8">P7+0.01</f>
        <v>0.03</v>
      </c>
    </row>
    <row r="9" spans="1:18" ht="17.100000000000001" customHeight="1" x14ac:dyDescent="0.25">
      <c r="A9" s="66">
        <f t="shared" si="7"/>
        <v>4</v>
      </c>
      <c r="B9" s="66" t="s">
        <v>66</v>
      </c>
      <c r="C9" s="67"/>
      <c r="D9" s="75">
        <v>6.73</v>
      </c>
      <c r="E9" s="76">
        <v>168949.04</v>
      </c>
      <c r="F9" s="78">
        <f t="shared" ref="F9:F23" si="9">E9</f>
        <v>168949.04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188440</v>
      </c>
      <c r="L9" s="173">
        <f t="shared" si="3"/>
        <v>5796.855888</v>
      </c>
      <c r="M9" s="83">
        <f t="shared" si="4"/>
        <v>194237.04</v>
      </c>
      <c r="N9" s="84">
        <f t="shared" si="5"/>
        <v>205891.04</v>
      </c>
      <c r="O9" s="85">
        <f t="shared" si="6"/>
        <v>200064.04</v>
      </c>
      <c r="P9" s="45">
        <f t="shared" si="8"/>
        <v>0.04</v>
      </c>
      <c r="R9" s="45"/>
    </row>
    <row r="10" spans="1:18" ht="17.100000000000001" customHeight="1" x14ac:dyDescent="0.25">
      <c r="A10" s="66">
        <f t="shared" si="7"/>
        <v>5</v>
      </c>
      <c r="B10" s="66" t="s">
        <v>67</v>
      </c>
      <c r="C10" s="67"/>
      <c r="D10" s="75">
        <v>8.0399999999999991</v>
      </c>
      <c r="E10" s="76">
        <v>201835.05</v>
      </c>
      <c r="F10" s="78"/>
      <c r="G10" s="78"/>
      <c r="H10" s="79">
        <f t="shared" si="0"/>
        <v>201835.05</v>
      </c>
      <c r="I10" s="79">
        <f t="shared" si="1"/>
        <v>6055.0514999999996</v>
      </c>
      <c r="J10" s="80">
        <v>0</v>
      </c>
      <c r="K10" s="81">
        <f t="shared" si="2"/>
        <v>225119.99999999997</v>
      </c>
      <c r="L10" s="173">
        <f t="shared" si="3"/>
        <v>6925.2186239999983</v>
      </c>
      <c r="M10" s="83">
        <f t="shared" si="4"/>
        <v>439935.05</v>
      </c>
      <c r="N10" s="84">
        <f t="shared" si="5"/>
        <v>466331.05</v>
      </c>
      <c r="O10" s="85">
        <f t="shared" si="6"/>
        <v>453133.05</v>
      </c>
      <c r="P10" s="45">
        <f t="shared" si="8"/>
        <v>0.05</v>
      </c>
      <c r="R10" s="45"/>
    </row>
    <row r="11" spans="1:18" ht="17.100000000000001" customHeight="1" x14ac:dyDescent="0.25">
      <c r="A11" s="66">
        <f t="shared" si="7"/>
        <v>6</v>
      </c>
      <c r="B11" s="66" t="s">
        <v>68</v>
      </c>
      <c r="C11" s="66"/>
      <c r="D11" s="75">
        <v>4.7300000000000004</v>
      </c>
      <c r="E11" s="76">
        <v>118741.06</v>
      </c>
      <c r="F11" s="78">
        <f t="shared" si="9"/>
        <v>118741.06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132440</v>
      </c>
      <c r="L11" s="173">
        <f t="shared" si="3"/>
        <v>4074.1646880000003</v>
      </c>
      <c r="M11" s="83">
        <f t="shared" si="4"/>
        <v>136514.06</v>
      </c>
      <c r="N11" s="84">
        <f t="shared" si="5"/>
        <v>144705.06</v>
      </c>
      <c r="O11" s="85">
        <f t="shared" si="6"/>
        <v>140609.06</v>
      </c>
      <c r="P11" s="45">
        <f t="shared" si="8"/>
        <v>6.0000000000000005E-2</v>
      </c>
    </row>
    <row r="12" spans="1:18" ht="17.100000000000001" customHeight="1" x14ac:dyDescent="0.25">
      <c r="A12" s="66">
        <f t="shared" si="7"/>
        <v>7</v>
      </c>
      <c r="B12" s="66" t="s">
        <v>69</v>
      </c>
      <c r="C12" s="66"/>
      <c r="D12" s="75">
        <v>5.67</v>
      </c>
      <c r="E12" s="76">
        <v>413787.07</v>
      </c>
      <c r="F12" s="78">
        <f>129805+129843+142339.07+11800</f>
        <v>413787.07</v>
      </c>
      <c r="G12" s="78"/>
      <c r="H12" s="79">
        <f t="shared" si="0"/>
        <v>0</v>
      </c>
      <c r="I12" s="79">
        <f t="shared" si="1"/>
        <v>0</v>
      </c>
      <c r="J12" s="80">
        <v>0</v>
      </c>
      <c r="K12" s="81">
        <f t="shared" si="2"/>
        <v>158760</v>
      </c>
      <c r="L12" s="173">
        <f t="shared" si="3"/>
        <v>4883.8295519999992</v>
      </c>
      <c r="M12" s="83">
        <f t="shared" si="4"/>
        <v>163644.07</v>
      </c>
      <c r="N12" s="84">
        <f t="shared" si="5"/>
        <v>173463.07</v>
      </c>
      <c r="O12" s="85">
        <f t="shared" si="6"/>
        <v>168553.07</v>
      </c>
      <c r="P12" s="45">
        <f t="shared" si="8"/>
        <v>7.0000000000000007E-2</v>
      </c>
    </row>
    <row r="13" spans="1:18" ht="17.100000000000001" customHeight="1" x14ac:dyDescent="0.25">
      <c r="A13" s="66">
        <f t="shared" si="7"/>
        <v>8</v>
      </c>
      <c r="B13" s="66" t="s">
        <v>70</v>
      </c>
      <c r="C13" s="67"/>
      <c r="D13" s="75">
        <v>5.67</v>
      </c>
      <c r="E13" s="76">
        <v>142339.07999999999</v>
      </c>
      <c r="F13" s="78">
        <f>E13</f>
        <v>142339.07999999999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158760</v>
      </c>
      <c r="L13" s="173">
        <f t="shared" si="3"/>
        <v>4883.8295519999992</v>
      </c>
      <c r="M13" s="83">
        <f t="shared" si="4"/>
        <v>163644.07999999999</v>
      </c>
      <c r="N13" s="84">
        <f t="shared" si="5"/>
        <v>173463.08</v>
      </c>
      <c r="O13" s="85">
        <f t="shared" si="6"/>
        <v>168553.08</v>
      </c>
      <c r="P13" s="45">
        <f t="shared" si="8"/>
        <v>0.08</v>
      </c>
      <c r="R13" t="s">
        <v>95</v>
      </c>
    </row>
    <row r="14" spans="1:18" ht="17.100000000000001" customHeight="1" x14ac:dyDescent="0.25">
      <c r="A14" s="66">
        <f t="shared" si="7"/>
        <v>9</v>
      </c>
      <c r="B14" s="66" t="s">
        <v>71</v>
      </c>
      <c r="C14" s="67"/>
      <c r="D14" s="75">
        <v>7.67</v>
      </c>
      <c r="E14" s="76">
        <v>192547.09</v>
      </c>
      <c r="F14" s="78">
        <f t="shared" si="9"/>
        <v>192547.09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214760</v>
      </c>
      <c r="L14" s="173">
        <f t="shared" si="3"/>
        <v>6606.5207519999994</v>
      </c>
      <c r="M14" s="83">
        <f t="shared" si="4"/>
        <v>221367.09</v>
      </c>
      <c r="N14" s="84">
        <f t="shared" si="5"/>
        <v>234649.09</v>
      </c>
      <c r="O14" s="85">
        <f t="shared" si="6"/>
        <v>228008.09</v>
      </c>
      <c r="P14" s="45">
        <f t="shared" si="8"/>
        <v>0.09</v>
      </c>
    </row>
    <row r="15" spans="1:18" ht="17.100000000000001" customHeight="1" x14ac:dyDescent="0.25">
      <c r="A15" s="66">
        <f t="shared" si="7"/>
        <v>10</v>
      </c>
      <c r="B15" s="66" t="s">
        <v>72</v>
      </c>
      <c r="C15" s="67"/>
      <c r="D15" s="75">
        <v>4.9000000000000004</v>
      </c>
      <c r="E15" s="76">
        <v>123009.1</v>
      </c>
      <c r="F15" s="78">
        <f t="shared" si="9"/>
        <v>123009.1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137200</v>
      </c>
      <c r="L15" s="173">
        <f t="shared" si="3"/>
        <v>4220.5934400000006</v>
      </c>
      <c r="M15" s="83">
        <f t="shared" si="4"/>
        <v>141421.1</v>
      </c>
      <c r="N15" s="84">
        <f t="shared" si="5"/>
        <v>149906.1</v>
      </c>
      <c r="O15" s="85">
        <f t="shared" si="6"/>
        <v>145664.1</v>
      </c>
      <c r="P15" s="45">
        <f t="shared" si="8"/>
        <v>9.9999999999999992E-2</v>
      </c>
    </row>
    <row r="16" spans="1:18" ht="17.100000000000001" customHeight="1" x14ac:dyDescent="0.25">
      <c r="A16" s="66">
        <f t="shared" si="7"/>
        <v>11</v>
      </c>
      <c r="B16" s="66" t="s">
        <v>73</v>
      </c>
      <c r="C16" s="67"/>
      <c r="D16" s="75">
        <v>5.63</v>
      </c>
      <c r="E16" s="76">
        <v>141335.10999999999</v>
      </c>
      <c r="F16" s="78">
        <f t="shared" si="9"/>
        <v>141335.10999999999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157640</v>
      </c>
      <c r="L16" s="173">
        <f t="shared" si="3"/>
        <v>4849.375728</v>
      </c>
      <c r="M16" s="83">
        <f t="shared" si="4"/>
        <v>162489.10999999999</v>
      </c>
      <c r="N16" s="84">
        <f t="shared" si="5"/>
        <v>172238.11</v>
      </c>
      <c r="O16" s="85">
        <f t="shared" si="6"/>
        <v>167364.10999999999</v>
      </c>
      <c r="P16" s="45">
        <f t="shared" si="8"/>
        <v>0.10999999999999999</v>
      </c>
    </row>
    <row r="17" spans="1:18" ht="17.100000000000001" customHeight="1" x14ac:dyDescent="0.25">
      <c r="A17" s="66">
        <f t="shared" si="7"/>
        <v>12</v>
      </c>
      <c r="B17" s="66" t="s">
        <v>74</v>
      </c>
      <c r="C17" s="67"/>
      <c r="D17" s="75">
        <v>5.55</v>
      </c>
      <c r="E17" s="76">
        <v>139326.12</v>
      </c>
      <c r="F17" s="78">
        <f t="shared" si="9"/>
        <v>139326.12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155400</v>
      </c>
      <c r="L17" s="173">
        <f t="shared" si="3"/>
        <v>4780.4680799999996</v>
      </c>
      <c r="M17" s="83">
        <f t="shared" si="4"/>
        <v>160180.12</v>
      </c>
      <c r="N17" s="84">
        <f t="shared" si="5"/>
        <v>169791.12</v>
      </c>
      <c r="O17" s="85">
        <f t="shared" si="6"/>
        <v>164985.12</v>
      </c>
      <c r="P17" s="45">
        <f t="shared" si="8"/>
        <v>0.11999999999999998</v>
      </c>
    </row>
    <row r="18" spans="1:18" ht="17.100000000000001" customHeight="1" x14ac:dyDescent="0.25">
      <c r="A18" s="66">
        <f t="shared" si="7"/>
        <v>13</v>
      </c>
      <c r="B18" s="66" t="s">
        <v>75</v>
      </c>
      <c r="C18" s="67"/>
      <c r="D18" s="75">
        <v>11.06</v>
      </c>
      <c r="E18" s="76">
        <v>277649.13</v>
      </c>
      <c r="F18" s="78">
        <v>268122.13</v>
      </c>
      <c r="G18" s="78"/>
      <c r="H18" s="79">
        <f t="shared" si="0"/>
        <v>9527</v>
      </c>
      <c r="I18" s="79">
        <f t="shared" si="1"/>
        <v>285.81</v>
      </c>
      <c r="J18" s="80">
        <v>0</v>
      </c>
      <c r="K18" s="81">
        <f t="shared" si="2"/>
        <v>309680</v>
      </c>
      <c r="L18" s="173">
        <f t="shared" si="3"/>
        <v>9526.4823360000009</v>
      </c>
      <c r="M18" s="83">
        <f t="shared" si="4"/>
        <v>329019.13</v>
      </c>
      <c r="N18" s="84">
        <f t="shared" si="5"/>
        <v>348760.13</v>
      </c>
      <c r="O18" s="85">
        <f t="shared" si="6"/>
        <v>338890.13</v>
      </c>
      <c r="P18" s="45">
        <f t="shared" si="8"/>
        <v>0.12999999999999998</v>
      </c>
    </row>
    <row r="19" spans="1:18" ht="17.100000000000001" customHeight="1" x14ac:dyDescent="0.25">
      <c r="A19" s="66">
        <f t="shared" si="7"/>
        <v>14</v>
      </c>
      <c r="B19" s="66" t="s">
        <v>76</v>
      </c>
      <c r="C19" s="67"/>
      <c r="D19" s="75">
        <v>3.3</v>
      </c>
      <c r="E19" s="76">
        <v>82843.14</v>
      </c>
      <c r="F19" s="78">
        <f t="shared" si="9"/>
        <v>82843.14</v>
      </c>
      <c r="G19" s="78"/>
      <c r="H19" s="79">
        <f t="shared" si="0"/>
        <v>0</v>
      </c>
      <c r="I19" s="79">
        <f t="shared" si="1"/>
        <v>0</v>
      </c>
      <c r="J19" s="80">
        <v>0</v>
      </c>
      <c r="K19" s="81">
        <f t="shared" si="2"/>
        <v>92400</v>
      </c>
      <c r="L19" s="173">
        <f t="shared" si="3"/>
        <v>2842.4404799999993</v>
      </c>
      <c r="M19" s="83">
        <f t="shared" si="4"/>
        <v>95242.14</v>
      </c>
      <c r="N19" s="84">
        <f t="shared" si="5"/>
        <v>100957.14</v>
      </c>
      <c r="O19" s="85">
        <f t="shared" si="6"/>
        <v>98099.14</v>
      </c>
      <c r="P19" s="45">
        <f t="shared" si="8"/>
        <v>0.13999999999999999</v>
      </c>
    </row>
    <row r="20" spans="1:18" ht="17.100000000000001" customHeight="1" x14ac:dyDescent="0.25">
      <c r="A20" s="66">
        <f t="shared" si="7"/>
        <v>15</v>
      </c>
      <c r="B20" s="66" t="s">
        <v>77</v>
      </c>
      <c r="C20" s="67"/>
      <c r="D20" s="75">
        <v>1.8</v>
      </c>
      <c r="E20" s="76">
        <v>45187.15</v>
      </c>
      <c r="F20" s="78">
        <f t="shared" si="9"/>
        <v>45187.15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50400.000000000007</v>
      </c>
      <c r="L20" s="173">
        <f t="shared" si="3"/>
        <v>1550.4220800000001</v>
      </c>
      <c r="M20" s="83">
        <f t="shared" si="4"/>
        <v>51950.15</v>
      </c>
      <c r="N20" s="84">
        <f t="shared" si="5"/>
        <v>55067.15</v>
      </c>
      <c r="O20" s="85">
        <f t="shared" si="6"/>
        <v>53509.15</v>
      </c>
      <c r="P20" s="45">
        <f t="shared" si="8"/>
        <v>0.15</v>
      </c>
    </row>
    <row r="21" spans="1:18" ht="17.100000000000001" customHeight="1" x14ac:dyDescent="0.25">
      <c r="A21" s="66">
        <f t="shared" si="7"/>
        <v>16</v>
      </c>
      <c r="B21" s="66" t="s">
        <v>78</v>
      </c>
      <c r="C21" s="66"/>
      <c r="D21" s="75">
        <v>3.22</v>
      </c>
      <c r="E21" s="76">
        <v>80834.16</v>
      </c>
      <c r="F21" s="78">
        <f>E21</f>
        <v>80834.16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90160</v>
      </c>
      <c r="L21" s="173">
        <f t="shared" si="3"/>
        <v>2773.5328319999999</v>
      </c>
      <c r="M21" s="83">
        <f t="shared" si="4"/>
        <v>92934.16</v>
      </c>
      <c r="N21" s="84">
        <f t="shared" si="5"/>
        <v>98510.16</v>
      </c>
      <c r="O21" s="85">
        <f t="shared" si="6"/>
        <v>95722.16</v>
      </c>
      <c r="P21" s="45">
        <f t="shared" si="8"/>
        <v>0.16</v>
      </c>
      <c r="R21" s="44"/>
    </row>
    <row r="22" spans="1:18" ht="17.100000000000001" customHeight="1" x14ac:dyDescent="0.25">
      <c r="A22" s="66">
        <f t="shared" si="7"/>
        <v>17</v>
      </c>
      <c r="B22" s="66" t="s">
        <v>79</v>
      </c>
      <c r="C22" s="67"/>
      <c r="D22" s="75">
        <v>2.61</v>
      </c>
      <c r="E22" s="77">
        <v>65521.17</v>
      </c>
      <c r="F22" s="78">
        <v>61562.17</v>
      </c>
      <c r="G22" s="78"/>
      <c r="H22" s="79">
        <f t="shared" si="0"/>
        <v>3959</v>
      </c>
      <c r="I22" s="79">
        <f t="shared" si="1"/>
        <v>118.77</v>
      </c>
      <c r="J22" s="80">
        <v>0</v>
      </c>
      <c r="K22" s="81">
        <f t="shared" si="2"/>
        <v>73080</v>
      </c>
      <c r="L22" s="173">
        <f t="shared" si="3"/>
        <v>2248.1120159999996</v>
      </c>
      <c r="M22" s="83">
        <f t="shared" si="4"/>
        <v>79406.17</v>
      </c>
      <c r="N22" s="84">
        <f t="shared" si="5"/>
        <v>84171.17</v>
      </c>
      <c r="O22" s="85">
        <f t="shared" si="6"/>
        <v>81788.17</v>
      </c>
      <c r="P22" s="45">
        <f t="shared" si="8"/>
        <v>0.17</v>
      </c>
    </row>
    <row r="23" spans="1:18" ht="17.100000000000001" customHeight="1" x14ac:dyDescent="0.25">
      <c r="A23" s="66">
        <f t="shared" si="7"/>
        <v>18</v>
      </c>
      <c r="B23" s="66" t="s">
        <v>80</v>
      </c>
      <c r="C23" s="133"/>
      <c r="D23" s="75">
        <v>4.28</v>
      </c>
      <c r="E23" s="76">
        <v>107445.18</v>
      </c>
      <c r="F23" s="78">
        <f t="shared" si="9"/>
        <v>107445.18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119840.00000000001</v>
      </c>
      <c r="L23" s="173">
        <f t="shared" si="3"/>
        <v>3686.5591680000002</v>
      </c>
      <c r="M23" s="83">
        <f t="shared" si="4"/>
        <v>123527.18</v>
      </c>
      <c r="N23" s="84">
        <f t="shared" si="5"/>
        <v>130939.18</v>
      </c>
      <c r="O23" s="85">
        <f t="shared" si="6"/>
        <v>127233.18</v>
      </c>
      <c r="P23" s="45">
        <f t="shared" si="8"/>
        <v>0.18000000000000002</v>
      </c>
      <c r="R23" s="145"/>
    </row>
    <row r="24" spans="1:18" ht="17.100000000000001" customHeight="1" x14ac:dyDescent="0.25">
      <c r="A24" s="66"/>
      <c r="B24" s="66"/>
      <c r="C24" s="67"/>
      <c r="D24" s="75"/>
      <c r="E24" s="76"/>
      <c r="F24" s="160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25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">
      <c r="A29" s="98"/>
      <c r="B29" s="99"/>
      <c r="C29" s="99"/>
      <c r="D29" s="100">
        <f>SUM(D6:D28)</f>
        <v>100.08</v>
      </c>
      <c r="E29" s="55">
        <f>SUM(E6:E28)</f>
        <v>2908292.7100000009</v>
      </c>
      <c r="F29" s="64">
        <f>SUM(F6:F28)</f>
        <v>2620698.6400000006</v>
      </c>
      <c r="G29" s="55">
        <f t="shared" ref="G29:N29" si="10">SUM(G6:G28)</f>
        <v>0</v>
      </c>
      <c r="H29" s="64">
        <f>SUM(H6:H28)</f>
        <v>287594.06999999995</v>
      </c>
      <c r="I29" s="64">
        <f t="shared" si="10"/>
        <v>8627.8220999999994</v>
      </c>
      <c r="J29" s="64">
        <f t="shared" si="10"/>
        <v>0</v>
      </c>
      <c r="K29" s="138">
        <f t="shared" si="10"/>
        <v>2802240</v>
      </c>
      <c r="L29" s="64">
        <f t="shared" si="10"/>
        <v>86203.467647999991</v>
      </c>
      <c r="M29" s="101">
        <f>SUM(M6:M23)</f>
        <v>3184665.7100000009</v>
      </c>
      <c r="N29" s="101">
        <f t="shared" si="10"/>
        <v>3375746.7100000004</v>
      </c>
      <c r="O29" s="101">
        <f>SUM(O6:O28)</f>
        <v>3280205.7100000004</v>
      </c>
    </row>
    <row r="30" spans="1:18" ht="12.75" customHeight="1" x14ac:dyDescent="0.25">
      <c r="B30" s="52"/>
      <c r="C30" s="52"/>
    </row>
    <row r="31" spans="1:18" hidden="1" x14ac:dyDescent="0.25"/>
    <row r="32" spans="1:18" ht="9" customHeight="1" x14ac:dyDescent="0.25">
      <c r="B32" s="203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</row>
    <row r="33" spans="2:13" ht="12" hidden="1" customHeight="1" x14ac:dyDescent="0.25"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</row>
    <row r="34" spans="2:13" ht="12" hidden="1" customHeight="1" x14ac:dyDescent="0.25"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</row>
    <row r="35" spans="2:13" ht="12" hidden="1" customHeight="1" x14ac:dyDescent="0.25"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</row>
    <row r="36" spans="2:13" ht="12" hidden="1" customHeight="1" x14ac:dyDescent="0.25"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</row>
    <row r="37" spans="2:13" ht="67.5" customHeight="1" x14ac:dyDescent="0.25"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</row>
  </sheetData>
  <mergeCells count="16">
    <mergeCell ref="O4:O5"/>
    <mergeCell ref="B32:M37"/>
    <mergeCell ref="C4:C5"/>
    <mergeCell ref="G4:G5"/>
    <mergeCell ref="A4:A5"/>
    <mergeCell ref="B4:B5"/>
    <mergeCell ref="D4:D5"/>
    <mergeCell ref="D1:M1"/>
    <mergeCell ref="I4:I5"/>
    <mergeCell ref="E4:E5"/>
    <mergeCell ref="N4:N5"/>
    <mergeCell ref="F4:F5"/>
    <mergeCell ref="H4:H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tabSelected="1" workbookViewId="0">
      <selection activeCell="E6" sqref="E6"/>
    </sheetView>
  </sheetViews>
  <sheetFormatPr baseColWidth="10" defaultRowHeight="15" x14ac:dyDescent="0.25"/>
  <sheetData>
    <row r="5" spans="3:5" x14ac:dyDescent="0.25">
      <c r="C5" s="220" t="s">
        <v>119</v>
      </c>
      <c r="E5" t="s">
        <v>120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2025-05-05T15:47:40Z</cp:lastPrinted>
  <dcterms:created xsi:type="dcterms:W3CDTF">2023-09-17T12:29:07Z</dcterms:created>
  <dcterms:modified xsi:type="dcterms:W3CDTF">2025-07-04T23:39:11Z</dcterms:modified>
</cp:coreProperties>
</file>